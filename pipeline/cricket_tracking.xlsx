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ips" sheetId="1" state="visible" r:id="rId3"/>
    <sheet name="Ground_Truth" sheetId="2" state="visible" r:id="rId4"/>
    <sheet name="Bounce_X_Method" sheetId="3" state="visible" r:id="rId5"/>
    <sheet name="Other_3_Clips_Attempt" sheetId="4" state="visible" r:id="rId6"/>
    <sheet name="Calibration_Upgrade_Attempt" sheetId="5" state="visible" r:id="rId7"/>
    <sheet name="Dense_Tracking_Swing" sheetId="6" state="visible" r:id="rId8"/>
    <sheet name="Swing_Deviation_Attempt" sheetId="7" state="visible" r:id="rId9"/>
    <sheet name="Score_Estimate" sheetId="8" state="visible" r:id="rId10"/>
    <sheet name="Speed_Method" sheetId="9" state="visible" r:id="rId11"/>
    <sheet name="Field_Coverage" sheetId="10" state="visible" r:id="rId12"/>
    <sheet name="Ball_Tracking" sheetId="11" state="visible" r:id="rId13"/>
    <sheet name="Our_Predictions" sheetId="12" state="visible" r:id="rId14"/>
    <sheet name="Notes" sheetId="13" state="visible" r:id="rId15"/>
    <sheet name="Pitch_Length" sheetId="14" state="visible" r:id="rId16"/>
    <sheet name="Physics_Check" sheetId="15" state="visible" r:id="rId17"/>
    <sheet name="Method_Comparison"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<sst xmlns="http://schemas.openxmlformats.org/spreadsheetml/2006/main" count="820" uniqueCount="465">
  <si>
    <t xml:space="preserve">clip_id</t>
  </si>
  <si>
    <t xml:space="preserve">filename</t>
  </si>
  <si>
    <t xml:space="preserve">width</t>
  </si>
  <si>
    <t xml:space="preserve">height</t>
  </si>
  <si>
    <t xml:space="preserve">fps</t>
  </si>
  <si>
    <t xml:space="preserve">frame_count</t>
  </si>
  <si>
    <t xml:space="preserve">duration_s</t>
  </si>
  <si>
    <t xml:space="preserve">delivery_segment_start_frame</t>
  </si>
  <si>
    <t xml:space="preserve">delivery_segment_end_frame</t>
  </si>
  <si>
    <t xml:space="preserve">ball_release_frame_approx</t>
  </si>
  <si>
    <t xml:space="preserve">camera_locked_off</t>
  </si>
  <si>
    <t xml:space="preserve">status</t>
  </si>
  <si>
    <t xml:space="preserve">notes</t>
  </si>
  <si>
    <t xml:space="preserve">C1</t>
  </si>
  <si>
    <t xml:space="preserve">f81d092b6117be1126e0d6be97220b3f9a2870eb.mp4</t>
  </si>
  <si>
    <t xml:space="preserve">Yes</t>
  </si>
  <si>
    <t xml:space="preserve">problem clip</t>
  </si>
  <si>
    <t xml:space="preserve">First camera cut ends before ball release; second segment starts after the shot is already played. Neither obvious segment cleanly brackets the ball flight - unresolved.</t>
  </si>
  <si>
    <t xml:space="preserve">C2</t>
  </si>
  <si>
    <t xml:space="preserve">9ef5c0e6e68a01d5435499bc0527c04386e527fc.mp4</t>
  </si>
  <si>
    <t xml:space="preserve">Not yet checked</t>
  </si>
  <si>
    <t xml:space="preserve">not yet reviewed</t>
  </si>
  <si>
    <t xml:space="preserve">C3</t>
  </si>
  <si>
    <t xml:space="preserve">98e537a2a3555da28ca7eea3227babb61df228d1.mp4</t>
  </si>
  <si>
    <t xml:space="preserve">C4</t>
  </si>
  <si>
    <t xml:space="preserve">6a79fbe0fd6792126c69087568f7f08318dcf449.mp4</t>
  </si>
  <si>
    <t xml:space="preserve">No (11.9/2.1px shift, scale 1.0114)</t>
  </si>
  <si>
    <t xml:space="preserve">C5</t>
  </si>
  <si>
    <t xml:space="preserve">bad1530d039b7146a8ce4a1b1a6b29502c3c9491.mp4</t>
  </si>
  <si>
    <t xml:space="preserve">Yes (0.0px shift, scale 1.0000)</t>
  </si>
  <si>
    <t xml:space="preserve">confirmed clean example</t>
  </si>
  <si>
    <t xml:space="preserve">Segment 42-139 shows full delivery view (both stumps + pitch). Ball visible in flight from ~frame 74 (bball_8.jpg) just after release.</t>
  </si>
  <si>
    <t xml:space="preserve">video_url</t>
  </si>
  <si>
    <t xml:space="preserve">kph</t>
  </si>
  <si>
    <t xml:space="preserve">release_y</t>
  </si>
  <si>
    <t xml:space="preserve">release_z</t>
  </si>
  <si>
    <t xml:space="preserve">bounce_x</t>
  </si>
  <si>
    <t xml:space="preserve">bounce_y</t>
  </si>
  <si>
    <t xml:space="preserve">impact_x</t>
  </si>
  <si>
    <t xml:space="preserve">impact_y</t>
  </si>
  <si>
    <t xml:space="preserve">impact_z</t>
  </si>
  <si>
    <t xml:space="preserve">interception_distance</t>
  </si>
  <si>
    <t xml:space="preserve">stump_y</t>
  </si>
  <si>
    <t xml:space="preserve">stump_z</t>
  </si>
  <si>
    <t xml:space="preserve">swing_angle</t>
  </si>
  <si>
    <t xml:space="preserve">deviation</t>
  </si>
  <si>
    <t xml:space="preserve">runs</t>
  </si>
  <si>
    <t xml:space="preserve">wickets</t>
  </si>
  <si>
    <t xml:space="preserve">https://scoredata.me/cricket/f81d092b6117be1126e0d6be97220b3f9a2870eb.mp4</t>
  </si>
  <si>
    <t xml:space="preserve">https://scoredata.me/cricket/9ef5c0e6e68a01d5435499bc0527c04386e527fc.mp4</t>
  </si>
  <si>
    <t xml:space="preserve">https://scoredata.me/cricket/98e537a2a3555da28ca7eea3227babb61df228d1.mp4</t>
  </si>
  <si>
    <t xml:space="preserve">https://scoredata.me/cricket/6a79fbe0fd6792126c69087568f7f08318dcf449.mp4</t>
  </si>
  <si>
    <t xml:space="preserve">https://scoredata.me/cricket/bad1530d039b7146a8ce4a1b1a6b29502c3c9491.mp4</t>
  </si>
  <si>
    <t xml:space="preserve">Source: https://console.scorestudio.ai/starter-packs/cricket-balltrack/examples.json (official Score Studio example answer key, fetched 2026-09).</t>
  </si>
  <si>
    <t xml:space="preserve">First real, non-answer-key method for bounce_x (the single most valuable field, 19% of score)</t>
  </si>
  <si>
    <t xml:space="preserve">How it works:</t>
  </si>
  <si>
    <t xml:space="preserve">1. We know the bowling crease line is a fixed, law-defined 18.9m from the batter's stumps - found and measured directly in the footage (a real painted line, not a guess).</t>
  </si>
  <si>
    <t xml:space="preserve">2. Watch the clip and note the exact frame the ball leaves the bowler's hand, and the exact frame it bounces (its lowest point) - both directly observable, no answer key needed.</t>
  </si>
  <si>
    <t xml:space="preserve">3. Speed x time-in-the-air = how far the ball travelled before hitting the ground.</t>
  </si>
  <si>
    <t xml:space="preserve">4. 18.9m minus that distance = where it pitches (bounce_x).</t>
  </si>
  <si>
    <t xml:space="preserve">clip</t>
  </si>
  <si>
    <t xml:space="preserve">speed used</t>
  </si>
  <si>
    <t xml:space="preserve">predicted bounce_x (m)</t>
  </si>
  <si>
    <t xml:space="preserve">true bounce_x (m)</t>
  </si>
  <si>
    <t xml:space="preserve">error</t>
  </si>
  <si>
    <t xml:space="preserve">note</t>
  </si>
  <si>
    <t xml:space="preserve">true speed (136.69 kph)</t>
  </si>
  <si>
    <t xml:space="preserve">6.5cm</t>
  </si>
  <si>
    <t xml:space="preserve">best case</t>
  </si>
  <si>
    <t xml:space="preserve">speed-gun graphic on screen (136.5 kph)</t>
  </si>
  <si>
    <t xml:space="preserve">4.1cm</t>
  </si>
  <si>
    <t xml:space="preserve">not cheating - read off the broadcast, not the answer sheet</t>
  </si>
  <si>
    <t xml:space="preserve">our own earlier timing-based speed guess (129.3 kph)</t>
  </si>
  <si>
    <t xml:space="preserve">83.9cm</t>
  </si>
  <si>
    <t xml:space="preserve">shows how much a ~5% speed error alone wrecks this - speed accuracy matters enormously here</t>
  </si>
  <si>
    <t xml:space="preserve">true speed (138.82 kph)</t>
  </si>
  <si>
    <t xml:space="preserve">33.4cm</t>
  </si>
  <si>
    <t xml:space="preserve">same method, second clip - still a huge improvement on guessing, less tight than C4</t>
  </si>
  <si>
    <t xml:space="preserve">Bottom line: this is the first working, non-answer-key method we have for bounce_x - a real breakthrough for the single most valuable field in the whole scoring system. But the accuracy is extremely sensitive to getting the ball's speed right - a 5% speed error turned a 6cm answer into an 84cm one on C4. So tightening our own speed calculation (for when the on-screen speed graphic isn't shown) is now just as important as this method itself, not a separate task. Also worth flagging: the 'release is 18.9m from the batter's stumps' number is one fixed value used for both clips here - back-solving what each clip's own numbers imply gives 18.96m for C4 and 18.57m for C5, so there's some genuine bowler-to-bowler variation in exactly where the ball leaves the hand relative to the crease, which is part of why C5 isn't as tight as C4.</t>
  </si>
  <si>
    <t xml:space="preserve">Tried running the ball-detector on the 3 clips we hadn't touched yet - found a real, important limitation</t>
  </si>
  <si>
    <t xml:space="preserve">What we found:</t>
  </si>
  <si>
    <t xml:space="preserve">Everything we've built so far (calibration, swing/deviation, bounce_x method) was built around one specific camera view - the tight 'straight down the pitch from behind the bowler' shot that both C4 and C5 happen to use. It's a great angle for tracking: the ball travels roughly down the middle of the picture, nice and big.</t>
  </si>
  <si>
    <t xml:space="preserve">The 3 remaining clips use completely different camera work. Scanning through them with the ball-detector, we found: a very wide, full-ground side-on shot (bowler top-left, batsman bottom-right, tiny ball) for one clip; and for another, a sequence of close-up cutaways, slow-motion replays, and player reaction shots edited together, with the actual ball only flying clearly into view for a couple of seconds total in the whole clip - and for the wrong ball in the over at that (we found a replay of an earlier ball in the same over, not the specific delivery the answer key is asking about).</t>
  </si>
  <si>
    <t xml:space="preserve">true bounce_x / kph</t>
  </si>
  <si>
    <t xml:space="preserve">camera style found</t>
  </si>
  <si>
    <t xml:space="preserve">f81d092b (good length)</t>
  </si>
  <si>
    <t xml:space="preserve">8.177m / 138.58 kph</t>
  </si>
  <si>
    <t xml:space="preserve">wide, full-ground side-on shot - different geometry to C4/C5, needs its own fresh calibration</t>
  </si>
  <si>
    <t xml:space="preserve">found the right delivery's rough location, camera type identified</t>
  </si>
  <si>
    <t xml:space="preserve">9ef5c0e6 (last ball of the over)</t>
  </si>
  <si>
    <t xml:space="preserve">13.284m / 127.96 kph</t>
  </si>
  <si>
    <t xml:space="preserve">heavily edited highlight package - found the ball clearly for an earlier ball in the same over, not this exact one</t>
  </si>
  <si>
    <t xml:space="preserve">correct delivery not pinned down yet</t>
  </si>
  <si>
    <t xml:space="preserve">98e537a2 (full-ish length)</t>
  </si>
  <si>
    <t xml:space="preserve">5.286m / 114.18 kph</t>
  </si>
  <si>
    <t xml:space="preserve">wide, full-ground side-on shot, same style as f81d092b</t>
  </si>
  <si>
    <t xml:space="preserve">camera type identified, tracking not yet built</t>
  </si>
  <si>
    <t xml:space="preserve">Why this matters more than it might sound:</t>
  </si>
  <si>
    <t xml:space="preserve">This isn't a small bug - it's a real, honest limit on what we've built. Our whole pipeline (camera calibration, the stump/release/bounce maths, all of it) silently assumes the 'straight down the pitch' camera. Feed it a different camera angle and none of that maths applies - we'd need to build a fresh calibration for every different camera style a broadcast uses, and first automatically figure out which shot is even the right one to look at, out of many cuts in a highlights package.</t>
  </si>
  <si>
    <t xml:space="preserve">The real Score Vision subnet will almost certainly throw all sorts of camera angles at us, since it's pulling from real match footage, not a curated set. So this is worth knowing now rather than being surprised by it later: our current pipeline is proven on one common angle, not camera-angle-general yet.</t>
  </si>
  <si>
    <t xml:space="preserve">Bottom line: not giving up on these 3 clips, but being honest that finishing them isn't 'run the same script again' - it's real new work (a second camera-geometry calibration, and a way to automatically find the right delivery inside an edited package). Recommending we treat that as its own next project phase rather than something to rush through, and in the meantime keep our score estimate honestly labelled as 'proven on 2 of 5 clips, one camera style' rather than implying it generalises yet.</t>
  </si>
  <si>
    <t xml:space="preserve">UPDATE: retrained the ball-detector specifically to fix this - tested it on real footage, here's the honest result</t>
  </si>
  <si>
    <t xml:space="preserve">What we did:</t>
  </si>
  <si>
    <t xml:space="preserve">Retrained the ball-detector on YOLO26 (a newer detection model) using a bigger, combined dataset (~7,000 images), specifically hoping it would get better at spotting a tiny, distant ball in a wide shot like the two above (f81d092b and 98e537a2). Once trained, tested it directly against real frames from both of those exact clips, comparing it to our old detector.</t>
  </si>
  <si>
    <t xml:space="preserve">old detector hit-rate (sample frames)</t>
  </si>
  <si>
    <t xml:space="preserve">new detector hit-rate (sample frames)</t>
  </si>
  <si>
    <t xml:space="preserve">visual check on real frames</t>
  </si>
  <si>
    <t xml:space="preserve">f81d092b (full-ground wide shot)</t>
  </si>
  <si>
    <t xml:space="preserve">31/116</t>
  </si>
  <si>
    <t xml:space="preserve">37/116</t>
  </si>
  <si>
    <t xml:space="preserve">FALSE POSITIVE - box sits on a fixed spot near a boundary fielder, in frames from before the ball was even bowled. Not a real ball detection.</t>
  </si>
  <si>
    <t xml:space="preserve">98e537a2 (pitch-focused wide shot)</t>
  </si>
  <si>
    <t xml:space="preserve">45/148</t>
  </si>
  <si>
    <t xml:space="preserve">58/148</t>
  </si>
  <si>
    <t xml:space="preserve">Genuine - box lands right at the stumps/popping crease, where a just-bowled ball should be.</t>
  </si>
  <si>
    <t xml:space="preserve">Honest verdict:</t>
  </si>
  <si>
    <t xml:space="preserve">The raw hit-rate numbers look like an improvement on both clips, but that's misleading on its own - so we pulled actual annotated sample frames and looked at where the boxes really landed. On 98e537a2, the detections are real: the box sits right where the ball should be. On f81d092b - the harder, more extreme full-ground wide shot, which is the actual case this retraining was meant to fix - the detections are a false positive, not a real fix. The model has locked onto a fixed spot near a fielder rather than actually tracking the ball.</t>
  </si>
  <si>
    <t xml:space="preserve">Likely reason: the training data was two general-purpose ball-tracking datasets combined, not specifically curated with lots of examples of this extreme full-ground camera angle - so the model probably just never saw enough real examples of 'tiny ball on a huge green field' to learn it reliably.</t>
  </si>
  <si>
    <t xml:space="preserve">Bottom line: not chasing a new camera calibration for the wide angle yet (see Section 4/10 of the handoff notes) - that would be built on a detector that still isn't reliably finding the ball there. Keeping this as an honestly documented, tested limitation. If revisited later, the right next move isn't more training rounds on the same data - it's specifically sourcing or labelling more full-ground wide-shot examples with the ball actually visible.</t>
  </si>
  <si>
    <t xml:space="preserve">Tried to improve calibration precision (idea borrowed from a real Basque Pelota ball-tracking paper) - it made things worse, not better</t>
  </si>
  <si>
    <t xml:space="preserve">Where the idea came from:</t>
  </si>
  <si>
    <t xml:space="preserve">Santhosh shared a real, patented ball-bounce-tracking system used on live Basque Pelota TV broadcasts (Labayen et al., Vicomtech). Their big advantage over us: they calibrate their camera properly using a checkerboard pattern laid on the court before the match, giving a precise, well-anchored map from pixels to real-world position. That's why they get accuracy of a few millimetres even 9 metres from the camera - much tighter than the wobble we've been fighting.</t>
  </si>
  <si>
    <t xml:space="preserve">We can't lay down a checkerboard on footage that's already been filmed, but the lesson still applies: our calibration is only as good as the reference points we feed it. We were using 3 points (stump base, release, bounce). We tried adding a 4th - the height of the stumps themselves (base to top, a known 0.711m) - to also correct for how height above the ground shifts a point sideways in the picture, which our first calibration completely ignored.</t>
  </si>
  <si>
    <t xml:space="preserve">version</t>
  </si>
  <si>
    <t xml:space="preserve">swing_angle result (C4)</t>
  </si>
  <si>
    <t xml:space="preserve">true value</t>
  </si>
  <si>
    <t xml:space="preserve">verdict</t>
  </si>
  <si>
    <t xml:space="preserve">3-point calibration (release, bounce, stump base) - no height correction</t>
  </si>
  <si>
    <t xml:space="preserve">+0.02°</t>
  </si>
  <si>
    <t xml:space="preserve">-0.16°</t>
  </si>
  <si>
    <t xml:space="preserve">closest so far - kept as our current best</t>
  </si>
  <si>
    <t xml:space="preserve">4-point calibration (added stump top/height) - attempted upgrade</t>
  </si>
  <si>
    <t xml:space="preserve">+0.29°</t>
  </si>
  <si>
    <t xml:space="preserve">worse - rejected, not used</t>
  </si>
  <si>
    <t xml:space="preserve">Why it backfired:</t>
  </si>
  <si>
    <t xml:space="preserve">The stumps are only about 12 pixels tall in our footage (0.711m of real height squeezed into a tiny span on screen), compared to well over 100 pixels for the release-to-bounce distances we already use. Measuring something over such a short pixel span is like trying to time a race with a stopwatch that only ticks once a second - a single pixel of measurement wobble turns into a huge swing in the answer. Adding this point didn't sharpen the calibration, it poisoned it with a noisy new number.</t>
  </si>
  <si>
    <t xml:space="preserve">We also went looking for the crease lines painted on the pitch (a wider, more reliable reference, like the Pelota paper effectively uses) as a better alternative to the stump height. No luck - in our footage the crease markings are too faint/worn to pin down precisely, and in one search we mostly found a bowler's discarded cap lying on the pitch instead of a painted line.</t>
  </si>
  <si>
    <t xml:space="preserve">Bottom line: kept the original 3-point calibration (it's still our best result) and did NOT adopt this 4-point version. The real takeaway from the Pelota paper stands as a concept - better reference points would genuinely help - but standard broadcast cricket footage doesn't hand us a good enough extra landmark to act on that concept right now, at least not with manual pixel-reading. Getting further here would need either sharper source video or a properly surveyed camera set-up, neither of which we have for these 5 example clips. Recommend moving on from chasing more swing_angle/deviation precision and instead spending effort on the 3 untested clips, where the automatic ball-detector can do the frame-by-frame tracking work for bounce_x and kph (35% of the score, vs 18% for swing_angle+deviation combined) without more manual pixel-hunting.</t>
  </si>
  <si>
    <t xml:space="preserve">Second attempt at swing_angle/deviation - now using the trained ball-detector's frame-by-frame tracking instead of just 2 points</t>
  </si>
  <si>
    <t xml:space="preserve">What changed since the last attempt:</t>
  </si>
  <si>
    <t xml:space="preserve">Last time (see Swing_Deviation_Attempt sheet) we only had 2 points to work with - where the ball is released, and where it bounces - so all we could draw was one straight line between them. That line shows the AVERAGE direction the ball travelled, not which way it was actually pointing right at the moment it bounced.</t>
  </si>
  <si>
    <t xml:space="preserve">Now that we have a trained ball-detector, we can see the ball in almost every single frame between release and bounce (10-12 frames, not just 2). That means instead of one long straight line, we can look at just the last few frames right before the bounce and draw a much shorter line - this shows the ball's real direction right at the moment it lands, not the average over the whole flight.</t>
  </si>
  <si>
    <t xml:space="preserve">SWING_ANGLE - comparing direction near release vs direction near the bounce:</t>
  </si>
  <si>
    <t xml:space="preserve">old method (1 line, whole flight)</t>
  </si>
  <si>
    <t xml:space="preserve">new method (direction near release vs near bounce)</t>
  </si>
  <si>
    <t xml:space="preserve">+0.72°</t>
  </si>
  <si>
    <t xml:space="preserve">much closer to zero than before, but still wrong sign - true swing here is smaller than our measurement noise</t>
  </si>
  <si>
    <t xml:space="preserve">+0.97°</t>
  </si>
  <si>
    <t xml:space="preserve">-0.03°</t>
  </si>
  <si>
    <t xml:space="preserve">0.00°</t>
  </si>
  <si>
    <t xml:space="preserve">big improvement - correctly reads as basically no swing, matching this ball which really did fly dead straight</t>
  </si>
  <si>
    <t xml:space="preserve">Honest read: the new method is clearly better - it no longer cries 'big swing!' on a ball that flew perfectly straight (C5), which the old method did. But on the one ball that genuinely swings (C4), we still can't recover the right number. The real swing on C4 is tiny (-0.16 degrees) over a 15-16 metre flight - that's a sideways bend of only about 4-5 centimetres, total, over the whole distance. Our pixel-reading and camera calibration have some natural wobble that's roughly the same size as that 4-5cm bend, so the true signal gets buried in our own measurement noise. It's not that the method is wrong - it's that we'd need sharper measurements (better calibration points, more decimal places of pixel precision) to reliably see a curve this small.</t>
  </si>
  <si>
    <t xml:space="preserve">DEVIATION - tried to extend the same idea to after the bounce, and it backfired:</t>
  </si>
  <si>
    <t xml:space="preserve">Tried the same trick for deviation: track the ball for a few frames AFTER the bounce too, and compare that direction to the direction just before the bounce. Problem: to convert those after-bounce frames into a real sideways distance, we need to know how far forward (towards the batsman) the ball has travelled each frame - and the only number we have for the ball's after-bounce speed is the 'how much speed does it keep after hitting the pitch' estimate from the Speed_Method sheet, which we already flagged as unreliable (47% on one ball, 28% on the other - not consistent).</t>
  </si>
  <si>
    <t xml:space="preserve">Result of actually trying it: for C5, this gave a deviation of about -4 degrees, when the true answer is 0.04 degrees - roughly 100 times too big. Using a shaky number to build another number just multiplies the error. This approach for deviation does not work and we are not using it.</t>
  </si>
  <si>
    <t xml:space="preserve">What we ARE keeping for deviation: the simpler method from the last attempt (a straight line from bounce to the stumps/bat, compared against the straight line from release to bounce). It doesn't need any guess about after-bounce speed at all - it just uses the bounce point and the final stump point, both of which we already know. That one actually worked well on the straight ball (0.037 vs true 0.04) and poorly on the swinging ball (-0.28 vs true 0.45, same root cause as swing_angle above - the true bend is too small to see over the noise). So: no change to deviation from the last attempt; the new tracking data only ended up helping swing_angle, not deviation.</t>
  </si>
  <si>
    <t xml:space="preserve">Bottom line: the new ball-tracking model is a genuine step up for swing_angle - it now correctly tells a straight ball from a swinging one instead of guessing 'swing' on everything, even though it still can't measure a small real swing precisely on broadcast-quality video. Deviation is unchanged - our attempt to improve it using the same dense-tracking idea made things worse, not better, so we're keeping the older, simpler bounce-to-stumps method for that field instead.</t>
  </si>
  <si>
    <t xml:space="preserve">First attempt at swing_angle + deviation - correcting an earlier over-claim that these were 'free points'</t>
  </si>
  <si>
    <t xml:space="preserve">What we said before vs what actually happened:</t>
  </si>
  <si>
    <t xml:space="preserve">Earlier we said swing_angle and deviation were basically free - that we already had every number the formula needs (release point, bounce point, stump/impact point). Actually tried it now, and that was wrong. The simple version of the calc only works for a ball that flies dead straight - it breaks for a ball that actually swings, which is exactly the case we care about most. Owning that up front rather than quietly dropping the earlier claim.</t>
  </si>
  <si>
    <t xml:space="preserve">The simple version we tried:</t>
  </si>
  <si>
    <t xml:space="preserve">swing_angle = the sideways angle of a straight line from where the ball is released to where it bounces.</t>
  </si>
  <si>
    <t xml:space="preserve">deviation = that same pre-bounce angle, compared against the angle of a straight line from the bounce to where it reaches the bat (or the stumps, if it isn't hit) - i.e. how much the line bends at the bounce.</t>
  </si>
  <si>
    <t xml:space="preserve">field</t>
  </si>
  <si>
    <t xml:space="preserve">our attempt</t>
  </si>
  <si>
    <t xml:space="preserve">wrong - wrong sign, wrong size</t>
  </si>
  <si>
    <t xml:space="preserve">-0.28°</t>
  </si>
  <si>
    <t xml:space="preserve">+0.45°</t>
  </si>
  <si>
    <t xml:space="preserve">wrong - this ball flew dead straight, ours says it swung a lot</t>
  </si>
  <si>
    <t xml:space="preserve">+0.037°</t>
  </si>
  <si>
    <t xml:space="preserve">+0.04°</t>
  </si>
  <si>
    <t xml:space="preserve">spot on - almost exact</t>
  </si>
  <si>
    <t xml:space="preserve">Why it worked on one ball but not the other - and what it actually tells us:</t>
  </si>
  <si>
    <t xml:space="preserve">Ball 5 truly does fly dead straight (true swing = 0.00) - so a straight line from release to bounce IS the real path, and our calc nailed the deviation almost exactly (0.037 vs 0.04).</t>
  </si>
  <si>
    <t xml:space="preserve">Ball 4 genuinely swings in the air (true swing = -0.16, a real curve). For a ball that curves, a straight line drawn between just its start point and its end point does NOT show which way it was pointing right before it hit the pitch - it only shows the average direction over the whole trip. That's the wrong thing to compare against. It's like judging which way a car was steering at the finish line using only its start and finish coordinates, ignoring the bend in the road.</t>
  </si>
  <si>
    <t xml:space="preserve">So the real fix isn't a smarter formula - it's tracking one or two extra points: the ball's position a couple of frames BEFORE it bounces (to get the direction it's actually travelling right at the moment of landing), and ideally a point shortly after release too (to get the direction it was actually launched in, before any swing has had time to act). We currently only track the two endpoints (release and bounce), which is enough for bounce_x and bounce_y but not enough for swing and deviation on a ball that curves.</t>
  </si>
  <si>
    <t xml:space="preserve">Bottom line: swing_angle and deviation are NOT free points after all - correcting the earlier claim. They need at least one more tracked frame near the bounce (and ideally one near release) to capture the ball's real direction at those moments, not just its two endpoint positions. Real next step: add one or two extra frame-reads to our tracking process (a couple of frames before the bounce is the priority, since deviation only needs that one), then redo this calc.</t>
  </si>
  <si>
    <t xml:space="preserve">Rough scorecard as of now - our best honest guess, using the real subnet weights</t>
  </si>
  <si>
    <t xml:space="preserve">IMPORTANT CAVEAT:</t>
  </si>
  <si>
    <t xml:space="preserve">We don't actually know the exact scoring formula the validator uses (is it strict pass/fail within a tolerance, or does 'closer counts for more' on a sliding scale?). So the numbers below are OUR estimate of how much credit each field probably earns given how close we usually land - not a guaranteed number.</t>
  </si>
  <si>
    <t xml:space="preserve">Also based on real testing on only 2 of the 5 example clips for the harder fields (bounce_x, kph) - the other 3 haven't been run through our pipeline yet, so real performance could shift once we do.</t>
  </si>
  <si>
    <t xml:space="preserve">field(s)</t>
  </si>
  <si>
    <t xml:space="preserve">weight (%)</t>
  </si>
  <si>
    <t xml:space="preserve">our credit estimate</t>
  </si>
  <si>
    <t xml:space="preserve">points earned</t>
  </si>
  <si>
    <t xml:space="preserve">why</t>
  </si>
  <si>
    <t xml:space="preserve">55%</t>
  </si>
  <si>
    <t xml:space="preserve">PARTIAL</t>
  </si>
  <si>
    <t xml:space="preserve">real working method now (crease + timing + speed) but only tested on 2 clips - nailed one (4-7cm off), rough on the other (33cm off)</t>
  </si>
  <si>
    <t xml:space="preserve">60%</t>
  </si>
  <si>
    <t xml:space="preserve">great when the speed-gun graphic is shown; own back-up method decent but leans on already having a bounce point</t>
  </si>
  <si>
    <t xml:space="preserve">90%</t>
  </si>
  <si>
    <t xml:space="preserve">GOOD</t>
  </si>
  <si>
    <t xml:space="preserve">our best, most consistent number - 1-4cm off</t>
  </si>
  <si>
    <t xml:space="preserve">20%</t>
  </si>
  <si>
    <t xml:space="preserve">calc actually built and tested back when swing_angle was (see Swing_Deviation_Attempt / Dense_Tracking_Swing sheets) - this row just wasn't updated to reflect it until now. Spot-on on the ball that flew dead straight (0.037° vs true 0.04°), wrong on the one genuinely swinging ball - same root cause as swing_angle: the true bend is smaller than our pixel/calibration measurement noise</t>
  </si>
  <si>
    <t xml:space="preserve">calc now built and tested using the trained detector - correctly reads zero swing on a straight ball, but still wrong on the one genuinely swinging ball we tested (true bend is smaller than our measurement noise)</t>
  </si>
  <si>
    <t xml:space="preserve">45%</t>
  </si>
  <si>
    <t xml:space="preserve">usable but the softest of our working numbers</t>
  </si>
  <si>
    <t xml:space="preserve">80%</t>
  </si>
  <si>
    <t xml:space="preserve">7-8cm off</t>
  </si>
  <si>
    <t xml:space="preserve">0%</t>
  </si>
  <si>
    <t xml:space="preserve">MISSING</t>
  </si>
  <si>
    <t xml:space="preserve">never calculated ourselves, only ever used the answer key</t>
  </si>
  <si>
    <t xml:space="preserve">2-4cm off, very solid</t>
  </si>
  <si>
    <t xml:space="preserve">not attempted - same root problem as bounce_x</t>
  </si>
  <si>
    <t xml:space="preserve">1-4cm off</t>
  </si>
  <si>
    <t xml:space="preserve">soft, like stump_z</t>
  </si>
  <si>
    <t xml:space="preserve">needs bounce_x and impact_x, both shaky/missing</t>
  </si>
  <si>
    <t xml:space="preserve">inningsid + overid + ball_in_over</t>
  </si>
  <si>
    <t xml:space="preserve">scorecard-reading (OCR) proved accurate on the one clip we checked</t>
  </si>
  <si>
    <t xml:space="preserve">ballid</t>
  </si>
  <si>
    <t xml:space="preserve">70%</t>
  </si>
  <si>
    <t xml:space="preserve">OK</t>
  </si>
  <si>
    <t xml:space="preserve">should be easy bookkeeping once over/ball are known</t>
  </si>
  <si>
    <t xml:space="preserve">xlsx_overs + scorecard_overs</t>
  </si>
  <si>
    <t xml:space="preserve">75%</t>
  </si>
  <si>
    <t xml:space="preserve">same scorecard-reading approach</t>
  </si>
  <si>
    <t xml:space="preserve">85%</t>
  </si>
  <si>
    <t xml:space="preserve">scorecard delta matched exactly on our one test</t>
  </si>
  <si>
    <t xml:space="preserve">TOTAL</t>
  </si>
  <si>
    <t xml:space="preserve">~55 out of 100, just over half marks</t>
  </si>
  <si>
    <t xml:space="preserve">Bottom line: fixed a bookkeeping gap - deviation was actually built and tested at the same time as swing_angle, but this table was never updated to show it, and was wrongly showing it as 0%/not built. With that corrected, our honest guess is about 55 out of 100. Deviation and swing_angle now show the same real, honest pattern: spot-on when a ball flies dead straight, off by a meaningful amount on the one genuinely swinging ball we've tested, because the true swing/deviation on broadcast video is often smaller than our own pixel-and-calibration measurement noise. Separately, we retrained the ball-detector (YOLO26) specifically to fix wide-camera-angle detection - see Other_3_Clips_Attempt for the honest result (a real but modest improvement, not a fix). That hasn't moved any number in this table yet, since bounce_x/kph are still only tested on the 2 clips that use the C4/C5 camera angle. The two biggest remaining opportunities are unchanged: (1) tighten bounce_x and kph by testing on all 5 clips, and (2) improve calibration precision so small real swing/deviation amounts stop getting lost in noise.</t>
  </si>
  <si>
    <t xml:space="preserve">Working out our OWN bowling speed (not from the on-screen speed-gun) - what we tried, what works, what doesn't</t>
  </si>
  <si>
    <t xml:space="preserve">Problem with our old method:</t>
  </si>
  <si>
    <t xml:space="preserve">Old method = total distance (18.9m, release to bat) divided by total time (release frame to bat-contact frame).</t>
  </si>
  <si>
    <t xml:space="preserve">This blends together TWO very different speeds: the fast pre-bounce flight, and the slower post-bounce hop (the ball loses a big chunk of speed hitting the pitch - that's just physics, not a tracking error).</t>
  </si>
  <si>
    <t xml:space="preserve">The more of the total TIME that happens after the bounce, the worse this drags the average down below the true release speed.</t>
  </si>
  <si>
    <t xml:space="preserve">method</t>
  </si>
  <si>
    <t xml:space="preserve">predicted kph</t>
  </si>
  <si>
    <t xml:space="preserve">true kph</t>
  </si>
  <si>
    <t xml:space="preserve">diff</t>
  </si>
  <si>
    <t xml:space="preserve">OLD: whole flight, release-&gt;bat (0.52s total, 15% of that time is after the bounce)</t>
  </si>
  <si>
    <t xml:space="preserve">-5.9</t>
  </si>
  <si>
    <t xml:space="preserve">underestimate</t>
  </si>
  <si>
    <t xml:space="preserve">NEW: pre-bounce segment only, release-&gt;bounce (0.44s)</t>
  </si>
  <si>
    <t xml:space="preserve">-0.5</t>
  </si>
  <si>
    <t xml:space="preserve">much tighter</t>
  </si>
  <si>
    <t xml:space="preserve">OLD: whole flight, release-&gt;keeper (0.68s total, 41% of that time is after the bounce)</t>
  </si>
  <si>
    <t xml:space="preserve">-38.8</t>
  </si>
  <si>
    <t xml:space="preserve">way off - most of the flight time here was the slow post-bounce crawl to the keeper</t>
  </si>
  <si>
    <t xml:space="preserve">NEW: pre-bounce segment only, release-&gt;bounce (0.40s)</t>
  </si>
  <si>
    <t xml:space="preserve">+3.0</t>
  </si>
  <si>
    <t xml:space="preserve">The catch:</t>
  </si>
  <si>
    <t xml:space="preserve">The fix above (only time the ball BEFORE it bounces) is much more accurate - but to know the pre-bounce DISTANCE, we need to already know where it bounces (bounce_x). And bounce_x is exactly the number we're using speed to calculate in the first place. One equation, two unknowns - can't solve both from scratch with nothing else to go on.</t>
  </si>
  <si>
    <t xml:space="preserve">So this fix is best used as a SECOND PASS: get a first speed number from wherever we can (true answer, or the on-screen speed-gun graphic when it's shown), use that to get a first bounce_x, then re-time using only the pre-bounce window to sharpen the speed number, then redo bounce_x with the sharper speed. It tightens things up, it doesn't invent a speed number from nothing.</t>
  </si>
  <si>
    <t xml:space="preserve">For clips where NO speed number shows up anywhere on screen at all - what then?</t>
  </si>
  <si>
    <t xml:space="preserve">Tried one genuinely from-scratch idea: cricket balls lose a fairly consistent chunk of their speed hitting the pitch (it's a known real-world effect - the ball grips and skids). If we knew that 'how much speed is kept after the bounce' number reliably, we could work backward from the total release-to-bat time using gravity/physics alone, no outside speed reading needed.</t>
  </si>
  <si>
    <t xml:space="preserve">Checked what that number actually was on our 2 known clips: C4 the ball kept about 47% of its speed after bouncing; C5 it kept about 28%. That's a big difference for what should be a fairly physical constant, which tells us it's not reliable yet - the post-bounce window we're timing is only 2-7 video frames long, so a single frame of rounding error swings the number a lot.</t>
  </si>
  <si>
    <t xml:space="preserve">Honest conclusion: this from-scratch idea is a real avenue, but with only 2 clips to check it against and such short post-bounce timing windows, we don't have a trustworthy number yet. Needs either more example clips or a way to time the post-bounce hop more precisely (e.g. slow-motion / higher frame rate) before it can be used as a genuine fallback. Not using it yet - flagging it as unfinished rather than pretending it works.</t>
  </si>
  <si>
    <t xml:space="preserve">Bottom line / recommended order for getting a speed number, best to worst: (1) on-screen speed-gun graphic if the broadcast shows one anywhere in the clip - proven accurate, not answer-key reading; (2) our timing method, but re-run using only the pre-bounce window once a first bounce_x guess exists - tight, within a few kph; (3) our old whole-flight timing method as a rough last resort - known to run low, worse the longer the ball sits around after pitching; (4) a pure physics fallback with no speed reading at all is not ready yet - the piece we'd need (typical post-bounce speed retention) isn't measuring consistently enough on just 2 clips to trust.</t>
  </si>
  <si>
    <t xml:space="preserve">Santhosh shared the subnet's required output columns - checking them against what we've actually built</t>
  </si>
  <si>
    <t xml:space="preserve">their column</t>
  </si>
  <si>
    <t xml:space="preserve">what it means</t>
  </si>
  <si>
    <t xml:space="preserve">plain-English name we used</t>
  </si>
  <si>
    <t xml:space="preserve">where we stand</t>
  </si>
  <si>
    <t xml:space="preserve">I# / Over / Ball / Overs</t>
  </si>
  <si>
    <t xml:space="preserve">which innings/over/ball this delivery is</t>
  </si>
  <si>
    <t xml:space="preserve">match bookkeeping</t>
  </si>
  <si>
    <t xml:space="preserve">not something you get from ball physics at all - this comes from knowing which delivery in the match you're looking at, not from tracking the ball. Not attempted, not really an 'our model' problem.</t>
  </si>
  <si>
    <t xml:space="preserve">N/A</t>
  </si>
  <si>
    <t xml:space="preserve">KPH</t>
  </si>
  <si>
    <t xml:space="preserve">release speed</t>
  </si>
  <si>
    <t xml:space="preserve">bowling speed</t>
  </si>
  <si>
    <t xml:space="preserve">rough timing-based estimate only, not checked carefully against all 5 answers yet</t>
  </si>
  <si>
    <t xml:space="preserve">Relʸ</t>
  </si>
  <si>
    <t xml:space="preserve">release-point sideways position</t>
  </si>
  <si>
    <t xml:space="preserve">just calculated this - about 7-8cm off the true answer on both balls we tried</t>
  </si>
  <si>
    <t xml:space="preserve">Relᶻ</t>
  </si>
  <si>
    <t xml:space="preserve">release-point height</t>
  </si>
  <si>
    <t xml:space="preserve">not calculated ourselves - we've only ever used the official answer for this number. Genuinely hard: needs a ground-level reference near the bowler's end, which we don't have a good one for yet</t>
  </si>
  <si>
    <t xml:space="preserve">Bnceˣ</t>
  </si>
  <si>
    <t xml:space="preserve">how far down the pitch it bounces</t>
  </si>
  <si>
    <t xml:space="preserve">bounce_x / pitch length</t>
  </si>
  <si>
    <t xml:space="preserve">THE big gap - currently we only know this by reading the answer key, not from the video itself</t>
  </si>
  <si>
    <t xml:space="preserve">Bnceʸ</t>
  </si>
  <si>
    <t xml:space="preserve">sideways position where it bounces</t>
  </si>
  <si>
    <t xml:space="preserve">our best result - within 2-4cm of the true answer</t>
  </si>
  <si>
    <t xml:space="preserve">Imptˣ</t>
  </si>
  <si>
    <t xml:space="preserve">how far down the pitch the ball is when it reaches the bat</t>
  </si>
  <si>
    <t xml:space="preserve">not attempted at all yet - same underlying problem as Bnceˣ (we can't yet measure distance-down-the-pitch from video alone)</t>
  </si>
  <si>
    <t xml:space="preserve">Imptʸ</t>
  </si>
  <si>
    <t xml:space="preserve">sideways position when it reaches the bat</t>
  </si>
  <si>
    <t xml:space="preserve">impact_y / stump_y depending on clip</t>
  </si>
  <si>
    <t xml:space="preserve">solid - within 1-4cm on both balls we tracked</t>
  </si>
  <si>
    <t xml:space="preserve">Imptᶻ</t>
  </si>
  <si>
    <t xml:space="preserve">height when it reaches the bat</t>
  </si>
  <si>
    <t xml:space="preserve">roughly half the error of our first attempt, but still off by several cm - the shakiest of our 'working' numbers</t>
  </si>
  <si>
    <t xml:space="preserve">InterD</t>
  </si>
  <si>
    <t xml:space="preserve">bounce point minus impact point (how far it moved after pitching)</t>
  </si>
  <si>
    <t xml:space="preserve">can't calculate this ourselves yet since it needs Bnceˣ and Imptˣ, both still missing</t>
  </si>
  <si>
    <t xml:space="preserve">Stmpʸ</t>
  </si>
  <si>
    <t xml:space="preserve">sideways position as it passes the stumps</t>
  </si>
  <si>
    <t xml:space="preserve">solid - within 1-4cm</t>
  </si>
  <si>
    <t xml:space="preserve">Stmpᶻ</t>
  </si>
  <si>
    <t xml:space="preserve">height as it passes the stumps</t>
  </si>
  <si>
    <t xml:space="preserve">same partial state as Imptᶻ - improved but not tight yet</t>
  </si>
  <si>
    <t xml:space="preserve">Swg∠</t>
  </si>
  <si>
    <t xml:space="preserve">sideways angle it swings in the air, release to bounce</t>
  </si>
  <si>
    <t xml:space="preserve">NOT attempted yet, but we actually already have everything needed to work this out ourselves (release_y and bounce_y) - this is a genuinely easy next win</t>
  </si>
  <si>
    <t xml:space="preserve">EASY WIN</t>
  </si>
  <si>
    <t xml:space="preserve">Dev</t>
  </si>
  <si>
    <t xml:space="preserve">sideways angle it deviates after bouncing</t>
  </si>
  <si>
    <t xml:space="preserve">same as above - we already have the bounce and stump/impact sideways numbers needed to work this out ourselves - another easy win</t>
  </si>
  <si>
    <t xml:space="preserve">Runs / Wkts</t>
  </si>
  <si>
    <t xml:space="preserve">what actually happened on the ball</t>
  </si>
  <si>
    <t xml:space="preserve">match outcome</t>
  </si>
  <si>
    <t xml:space="preserve">this is scorecard/commentary data, not something a ball-tracking model calculates from the video at all</t>
  </si>
  <si>
    <t xml:space="preserve">Bottom line: the column list Santhosh was sent is exactly the same set of numbers this whole project has been trying to work out - confirms we've been building the right thing. Of the 14 real tracking numbers (excluding match bookkeeping and runs/wickets, which aren't tracking outputs at all), 5 are solid, 2 are roughly-there-but-soft, 1 is a rough estimate, 2 are genuinely easy wins we haven't gotten around to yet, and 4 are missing - all 4 of those missing ones trace back to the same one root problem: we can't yet tell how far down the pitch something is from the video alone.</t>
  </si>
  <si>
    <t xml:space="preserve">frame_number</t>
  </si>
  <si>
    <t xml:space="preserve">time_s</t>
  </si>
  <si>
    <t xml:space="preserve">ball_x_px</t>
  </si>
  <si>
    <t xml:space="preserve">ball_y_px</t>
  </si>
  <si>
    <t xml:space="preserve">detection_method</t>
  </si>
  <si>
    <t xml:space="preserve">confidence</t>
  </si>
  <si>
    <t xml:space="preserve">verified_by_eye</t>
  </si>
  <si>
    <t xml:space="preserve">trajectory-curve prediction + round-blob match, eye-verified</t>
  </si>
  <si>
    <t xml:space="preserve">high</t>
  </si>
  <si>
    <t xml:space="preserve">yes</t>
  </si>
  <si>
    <t xml:space="preserve">release</t>
  </si>
  <si>
    <t xml:space="preserve">bounce point (y direction reverses after this frame)</t>
  </si>
  <si>
    <t xml:space="preserve">near wicketkeeper - ball about to be gathered (no bat contact, per ground truth)</t>
  </si>
  <si>
    <t xml:space="preserve">Frame 86 skipped: ball occluded behind the bat, not visible.</t>
  </si>
  <si>
    <t xml:space="preserve">Tracking stops at 91: ball reaches the wicketkeeper (no bat contact per ground truth) - nothing free-flying left to track after this.</t>
  </si>
  <si>
    <t xml:space="preserve">Total verified points: 17 of 18 frames in range (release to keeper).</t>
  </si>
  <si>
    <t xml:space="preserve">manual sub-pixel grid reading, eye-verified</t>
  </si>
  <si>
    <t xml:space="preserve">bounce point (local max in y)</t>
  </si>
  <si>
    <t xml:space="preserve">post-bounce, about to reach bat</t>
  </si>
  <si>
    <t xml:space="preserve">n/a</t>
  </si>
  <si>
    <t xml:space="preserve">ball occluded by bat at moment of contact - not tracked</t>
  </si>
  <si>
    <t xml:space="preserve">pred_kph</t>
  </si>
  <si>
    <t xml:space="preserve">pred_release_y</t>
  </si>
  <si>
    <t xml:space="preserve">pred_release_z</t>
  </si>
  <si>
    <t xml:space="preserve">pred_bounce_x</t>
  </si>
  <si>
    <t xml:space="preserve">pred_bounce_y</t>
  </si>
  <si>
    <t xml:space="preserve">pred_impact_x</t>
  </si>
  <si>
    <t xml:space="preserve">pred_impact_y</t>
  </si>
  <si>
    <t xml:space="preserve">pred_impact_z</t>
  </si>
  <si>
    <t xml:space="preserve">pred_interception_distance</t>
  </si>
  <si>
    <t xml:space="preserve">pred_stump_y</t>
  </si>
  <si>
    <t xml:space="preserve">pred_stump_z</t>
  </si>
  <si>
    <t xml:space="preserve">pred_swing_angle</t>
  </si>
  <si>
    <t xml:space="preserve">pred_deviation</t>
  </si>
  <si>
    <t xml:space="preserve">pred_runs</t>
  </si>
  <si>
    <t xml:space="preserve">pred_wickets</t>
  </si>
  <si>
    <t xml:space="preserve">truth_kph</t>
  </si>
  <si>
    <t xml:space="preserve">truth_bounce_x</t>
  </si>
  <si>
    <t xml:space="preserve">truth_stump_y</t>
  </si>
  <si>
    <t xml:space="preserve">truth_deviation</t>
  </si>
  <si>
    <t xml:space="preserve">truth_swing_angle</t>
  </si>
  <si>
    <t xml:space="preserve">truth_stump_z</t>
  </si>
  <si>
    <t xml:space="preserve">abs_error_kph</t>
  </si>
  <si>
    <t xml:space="preserve">abs_error_bounce_x</t>
  </si>
  <si>
    <t xml:space="preserve">abs_error_stump_y</t>
  </si>
  <si>
    <t xml:space="preserve">abs_error_deviation</t>
  </si>
  <si>
    <t xml:space="preserve">abs_error_swing_angle</t>
  </si>
  <si>
    <t xml:space="preserve">abs_error_stump_z</t>
  </si>
  <si>
    <t xml:space="preserve">weighted_score</t>
  </si>
  <si>
    <t xml:space="preserve">Fill pred_* columns once our pipeline computes each field. abs_error_* and weighted_score are formulas - do not hardcode.</t>
  </si>
  <si>
    <t xml:space="preserve">date</t>
  </si>
  <si>
    <t xml:space="preserve">2026-09-13</t>
  </si>
  <si>
    <t xml:space="preserve">5 official example clips + ground truth downloaded from Score Studio (console.scorestudio.ai starter pack). Confirmed real, playable MP4s.</t>
  </si>
  <si>
    <t xml:space="preserve">Scene-cut detection (histogram Bhattacharyya) found 3-11 camera cuts per clip - real broadcast footage, not single-camera academic clean feed.</t>
  </si>
  <si>
    <t xml:space="preserve">Camera-motion check (ORB+homography) confirmed the delivery segment is locked-off (no pan/zoom) in C1, C4, C5 - one calibration per clip is enough.</t>
  </si>
  <si>
    <t xml:space="preserve">First automatic pitch/segment detector (HSV tan-color heuristic) failed - picked wrong segment on 4/5 clips (fooled by sponsor banners/skin tone). Segment identification is being done by manual visual inspection for now.</t>
  </si>
  <si>
    <t xml:space="preserve">C1 (f81d092b) has a real problem: neither obvious camera segment cleanly shows the full ball flight (cut happens between run-up and post-shot).</t>
  </si>
  <si>
    <t xml:space="preserve">C5 (bad1530d) confirmed clean: segment frames 42-139, ball visible in flight from ~frame 74. Using this as the first full test case.</t>
  </si>
  <si>
    <t xml:space="preserve">Motion-based ball candidate detector (frame differencing + brightness weighting for white ball) is too noisy on C1 (140-540 candidates/frame, dominated by animated LED sponsor boards). Re-testing on C5's clean segment next.</t>
  </si>
  <si>
    <t xml:space="preserve">Built local pixel-to-metre calibration using the stumps own known size (height 0.711m, width ~0.267m) since crease lines are too worn/faded to see in this footage, and the visible tan patch near the stumps is just a footmark, not the true 3.05m pitch edge. Two independent estimates of scale (from stump height vs stump width) disagreed by ~25% (168.8 vs 127.3 px/m) - used the average (148 px/m) but this means roughly +/-20% uncertainty on every distance computed this way.</t>
  </si>
  <si>
    <t xml:space="preserve">Result for C5: bounce_y our estimate -0.44 vs official -0.33 (right direction, same order of magnitude). stump_y our estimate -0.20 vs official -0.28 (right direction, rough match). stump_z our estimate 0.05 vs official 0.29 (clear miss) - likely because our last unoccluded tracked frame (91) is still slightly short of the true stumps depth; the keeper takes the ball just after, so we never see it exactly crossing the stumps line.</t>
  </si>
  <si>
    <t xml:space="preserve">Still NOT computable from this single camera view: bounce_x / any distance along the pitch, release_y/z, kph, swing_angle, deviation. All of these need a second known depth reference along the pitch (e.g. visible crease lines or the far stumps) which this footage does not show - a genuine limit of one broadcast camera angle, not something more coding fixes.</t>
  </si>
  <si>
    <t xml:space="preserve">Redid the stump calibration properly using the exact Law 8 dimensions (stump height 0.7112m, stump spacing 0.1143m half-width) instead of a rough visual read. Height-based and width-based scale estimates now agree much better (125 vs 127 px/m, was 169 vs 127 before) - the original mismatch was our own measurement imprecision, not real camera tilt.</t>
  </si>
  <si>
    <t xml:space="preserve">Updated results with corrected origin (stump base row 366, not 390): bounce_y=-0.50 (official -0.33, right direction), stump_y=-0.22 (official -0.28, right direction). stump_z now comes out NEGATIVE (-0.12m, official +0.29m) - a physically impossible result (ball below ground), which proves frame 91 is genuinely NOT at the stumps true depth, not just a rounding issue. This confirms the single-camera depth limitation is real, not something better pixel-measurement fixes.</t>
  </si>
  <si>
    <t xml:space="preserve">Score-weight reality check: of the 6 highest-weighted fields, only stump_y (weight 0.14) is something this camera angle can plausibly give a decent answer for. bounce_x (0.19), kph (0.16) and stump_z (0.08) - 0.43 of the total weight - all need a second depth reference along the pitch that this footage does not show. deviation (0.10) is uncertain either way.</t>
  </si>
  <si>
    <t xml:space="preserve">Found and confirmed the real target delivery in C4 by matching the live scoreboard (runs 102-&gt;103, over 9.1-&gt;9.2, Rabada 2.1-&gt;2.2 overs) exactly against the official answer key (runs=1, overid=10, ball_in_over=2). Confirms this is the correct ball, not a replay - same check used successfully for C5.</t>
  </si>
  <si>
    <t xml:space="preserve">Tracked C4 ball frame-by-frame by eye using a pixel grid overlaid on zoomed crops (frames 93-105: release to bounce to bat contact, bat blocks the ball at frame 106). Same visual-verification standard as C5. Logged in Ball_Tracking sheet.</t>
  </si>
  <si>
    <t xml:space="preserve">Measured C4 stumps the same way as C5 (clean unobstructed frame, column/row scan): scale ~59 px/m at the stumps, base of middle stump at pixel (983,394).</t>
  </si>
  <si>
    <t xml:space="preserve">IMPORTANT FINDING: applied C4 stumps scale to the bounce point pixel - got bounce_y = -2.44m vs the real answer of -0.36m. Off by ~7x, not a rounding issue. Double-checked both the ball pixel position and the stump measurement by hand - both were fine. The real cause: the camera sits right next to the bowler stumps looking down the pitch, so close to the camera the pitch fans out very fast in the picture (like train tracks near your feet look wide, but meet at a point far away). One ruler measured at the batter end does not carry over to a point near the bowler end - the true scale changes fast close to the camera. This is the same root cause as C5's impossible height number, confirmed now on a second, independent clip.</t>
  </si>
  <si>
    <t xml:space="preserve">Tried to fix this properly: built a real camera model (position, tilt, zoom) using the 6 known stump points (3 stumps x top+base) plus the one known bounce point as anchors, solved with OpenCV's camera-pose solver across a range of zoom levels. Result: the numbers came out unstable/contradictory (the fitted camera ended up only ~3m from the batter, which we know is physically wrong - the camera is at the bowler's end, ~20m away). Tested this rigorously (not just assumed) - with points from only one true depth (the stumps) plus one borrowed answer (the bounce), there is not enough real 3-D spread in the reference points to pin down the camera's zoom and position at the same time. This is a real, confirmed mathematical limit of this specific footage, not a coding bug.</t>
  </si>
  <si>
    <t xml:space="preserve">Honest state of the project: 2D pixel tracking of the ball (where it is on screen, frame by frame) works well and is visually verified for two full deliveries (C4, C5). Converting that into real-world 3-D numbers (bounce_x, stump_y, stump_z etc, in metres) is NOT reliably solvable from this single fixed camera with the markings visible in this footage - confirmed by direct test, not assumption. This is also why real ball-tracking systems (e.g. Hawk-Eye) use several synchronised cameras and pre-surveyed camera rigs rather than reconstructing the camera from scratch per clip. A single lateral/height number (bounce_y, stump_y) close to the batter's stumps is roughly trustworthy; anything computed near the bowler's end (bounce_x itself, and any y/z value measured there) is not, with the current method.</t>
  </si>
  <si>
    <t xml:space="preserve">BREAKTHROUGH (Santhosh's idea): re-checked whether the camera actually stays still during the run-up. It does not - the broadcast camera zooms in steadily and continuously as the bowler runs in (confirmed by measuring the stumps' size across many frames: they grow from ~73px tall at the start of the run-up to ~165px tall by the time the ball reaches the bat). We had been using ONE stump measurement (from before the run-up even started) as the ruler for the whole delivery - that ruler was only correct for that one moment, and wrong (too small) by the time the ball is actually in the air, which is exactly why the bounce point came out so wildly off before.</t>
  </si>
  <si>
    <t xml:space="preserve">FIX: measured the stumps' size and position at each frame across the actual ball flight (93-103, wherever any part of the stumps peeks out from behind the batter), fit a smooth line through those measurements (the zoom rate is steady, about +5.6 pixels of stump height per frame), and used the correct ruler for each individual frame instead of one ruler for the whole delivery.</t>
  </si>
  <si>
    <t xml:space="preserve">RESULT: with the corrected, per-frame ruler, C4's bounce point comes out at -0.393m sideways from off the stump line - the real answer is -0.36m. That is only 3.3cm off, down from being off by over 2 metres before. The ball's position just before reaching the bat comes out at -0.343m, versus the real impact_y of -0.335m - also within a few centimetres. This is a genuine fix, not a lucky guess - the whole tracked path from release to bounce now moves smoothly and believably (starts wide at -0.65m, drifts in toward -0.34/-0.39m as it nears the stumps), which is what a real swinging/seaming delivery should look like.</t>
  </si>
  <si>
    <t xml:space="preserve">Next: check whether C5's camera also zooms during its delivery (the earlier locked-off check may have missed a slow zoom the same way it did for C4) and redo C5's numbers with the same fix if so. Then see if this same fix also rescues the height (stump_z) number, which was the other one that came out impossible earlier.</t>
  </si>
  <si>
    <t xml:space="preserve">Checked C5 for the same camera-zoom effect found in C4 - yes, same thing happens, just slower (about 0.94 pixels of stump height per frame here, versus ~5.6 in C4 - each clip's camera operator zooms at a different pace). Re-measured C5's stumps at two points during the run-up (frame 42 and frame 60) to work out this clip's own zoom rate, then applied the same per-frame ruler fix used for C4.</t>
  </si>
  <si>
    <t xml:space="preserve">RESULT for C5 with the fix: bounce point sideways position comes out at -0.308m (real answer -0.33m, off by just 2cm - previously this method gave -0.499m, way off). The ball's position right after the bounce comes out at -0.276m, versus the real stump_y of -0.279m - a 0.3cm difference, essentially exact. Both clips now check out well on the sideways (off/leg) numbers once the zoom is accounted for properly. Cleared the old stump_z (height) guess for C5 since it was built on the broken flat-ruler method - not yet re-derived with the fix, left blank rather than keep a wrong number.</t>
  </si>
  <si>
    <t xml:space="preserve">Height (Z) fix, per Santhosh's suggestion: the first attempt used the stump ruler for height too but treated the ball as if it were right at the stumps' own distance, which isn't true for a point still partway down the pitch - so it needs one more step: work out roughly how far from the stumps the ball actually is at that moment, and stretch the ruler to match THAT distance, not the stumps' distance. We already know exactly where ground level is at two distances - right at the stumps (0m) and right at the bounce spot (a known distance in front, from the answer key) - so for any point in between, we can estimate ground level at the ball's own distance by blending between those two knowns.</t>
  </si>
  <si>
    <t xml:space="preserve">RESULT: C4's height near the bat improves from 0.012m (clearly too low) to 0.136m against a real answer of 0.187m. C5's height near the keeper improves from 0.153m to 0.358m against a real answer of 0.292m. Both roughly HALVE the error compared to ignoring the ball's own distance from the stumps. Still not as tight as the sideways numbers, mainly because we had to guess which exact frame the ball reaches the bat/keeper - a small guess there shifts the answer a fair bit. This is real, meaningful progress though, not a wrong-in-a-new-way result like before.</t>
  </si>
  <si>
    <t xml:space="preserve">New Pitch_Length sheet added: sorts all 5 clips into short / good / full / yorker bands using the official pitching-distance answer, per Santhosh's exact definitions. C1 and C2 are short of a length, C3 is a good length ball, C4 and C5 are full. This currently uses the answer key's own distance number - the real test is doing this for a new ball with no answer key, which needs us to work out the pitching distance ourselves from the video (not yet solved, see above).</t>
  </si>
  <si>
    <t xml:space="preserve">Santhosh's idea: since we know the ball's speed, its release height, and (from the answer key) exactly where it pitches, can we just use physics (gravity) to work out the height directly, and use that to check our pixel-based numbers? Yes - and it turns out physics is most useful exactly where our pixel method is weakest: the part of the flight BEFORE the bounce, where we don't have two known ground-level points to work with.</t>
  </si>
  <si>
    <t xml:space="preserve">Added a Physics_Check sheet. For C4, using release height 2.161m, speed 136.69kph, and assuming the bowler lets go about 16.6m in front of the batter's stumps (a normal release point for a fast bowler), pure gravity gives a smooth, believable height for every tracked frame from release down to 0m exactly at the real bounce spot - frame93 starts at 2.38m (just released) and glides down to 0 right at frame104 (true bounce frame). This needed zero pixel measurements. Checked how much this depends on our guess of the release point (tried 15.5m to 18.5m) and the mid-flight height barely moves (1.43-1.62m at frame98) - so the method is not sensitive to that assumption.</t>
  </si>
  <si>
    <t xml:space="preserve">For the part AFTER the bounce, physics can't hand us an exact number for free, because nobody can know in advance exactly how much extra kick a specific patch of pitch will give the ball - that's genuine, real unpredictability (it's why batters watch the pitch and adjust). Instead we used physics as a sanity check: worked out what pop-up speed off the pitch would explain our pixel-based height, and whether that's a normal number. For C5, both our answer (0.358m) and the real answer (0.292m) point to an ordinary 2.4-2.7 m/s pop-up - good agreement. For C4, both point to a slightly higher than typical 3.6-4.9 m/s pop-up, but that check is extremely sensitive there since it's only 1 video frame (0.04s) after pitching. Overall: physics fully solves the pre-bounce height gap we had, and backs up that our post-bounce numbers are in a believable range, without replacing the need for the pixel method after the bounce.</t>
  </si>
  <si>
    <t xml:space="preserve">Santhosh shared a 2025 IEEE Access paper (Abbas et al., 'Front Pitch View Shot Extraction and Ball Tracking in Cricket Using Deep-Learning') that tackles almost this exact problem. Good confirmation of our approach: to work out how far the ball pitches, they do the SAME trick we do - use a known real-world size as a ruler and scale it by how zoomed-in the camera picture is (they use the batter's own height as the ruler; we used the fixed stump height, which is more reliable since it never changes person to person). They say outright that a normal broadcast camera has no real depth information and everyone has to approximate this way - so the workaround we built isn't a shortcut, it's the standard approach even in published research.</t>
  </si>
  <si>
    <t xml:space="preserve">They also show this task is genuinely hard even with a full deep-learning pipeline: their own length classifier (full/good/short) only gets it right about 70% of the time on their test set. So our classification isn't behind for a hand-built prototype - it's just that this problem doesn't have an easy, perfect answer for anyone. One thing to flag: their exact length boundaries differ from the ones we used (they use under 6m = full, 6-8.5m = good, over 8.5m = short, vs our 2/4/8m bands) - there's no single agreed definition across sources, which is worth knowing if we ever get asked to justify the exact cutoffs.</t>
  </si>
  <si>
    <t xml:space="preserve">Two useful takeaways for next steps: (1) they publish an annotated ball-tracking dataset and a trained ball-detector model on GitHub (github.com/KumailAbb/FPVShotDetection) - worth checking whether it could take over the manual frame-by-frame pixel reading we've been doing by hand, which has been our biggest time sink. (2) for lining up the pitch's true tilt in the picture, they just used one fixed, eyeballed 20-degree correction for every video - cruder than the crease-detection idea Santhosh proposed earlier, so if we finish that properly it would actually be more accurate than what's published here. They also never attempted to work out the ball's HEIGHT the way we did (bounce position only) - our depth-aware height work goes further than this paper did.</t>
  </si>
  <si>
    <t xml:space="preserve">Santhosh downloaded the actual dataset behind the IEEE paper and asked us to try the paper's method head to head with ours rather than just discuss it on paper. Reality check first: their public download only has annotation files pointing at specific YouTube frames, not the actual images and not a ready trained model - so we couldn't literally run their model on our 5 clips. Instead we did the fair version: their core idea is 'track something of known size to measure how zoomed-in the camera is'; we swapped their ruler choice (the batsman's own height, tracked with an off-the-shelf person detector) into our own pipeline in place of the stumps, changed nothing else, and compared the two side by side on C4 and C5, added as a new Method_Comparison sheet.</t>
  </si>
  <si>
    <t xml:space="preserve">RESULT: our stump ruler beat the batsman ruler in every check we ran, and the gap widens the further you are from the last careful measurement - on C4 (checking 11-12 frames later) the batsman-ruler error was roughly double ours (5.9cm vs 3.3cm at the pitch point, 3.2cm vs 0.8cm near the bat); on C5 (checking just 1 frame later) they were almost tied. Makes sense: the stumps are a fixed, law-defined size that never wobbles once measured, while a batsman shifts stance and lifts the bat as the ball arrives, and an automatic body-detector box jitters a bit frame to frame - that noise compounds the more frames you stretch it across. Their choice still makes sense for THEM though - a fully automated pipeline running on thousands of deliveries can't hand-measure the stumps every time, and the batsman usually stays in view longer since the stumps themselves get hidden behind his body as the camera zooms in. For us, since we're measuring things by hand anyway, sticking with the stumps was the right call.</t>
  </si>
  <si>
    <t xml:space="preserve">First real attempt at getting the computer to find the ball on its own, instead of us reading pixels by hand. Simple idea: look at what moved between one frame and the next AND the one after that (so it has to be moving consistently, not a one-off flicker), then out of everything that's moving, pick whatever is closest to where a straight line would predict the ball to be next. Tested on C4 against our own careful hand-readings.</t>
  </si>
  <si>
    <t xml:space="preserve">RESULT: it tracked the ball on its own, matching our hand-tracking to within about 7-8cm the whole way from release almost to the bounce - genuinely promising for something built in a few minutes with no training data. But it got confused at the exact moment the ball bounces (picked frame 105 instead of the real bounce at frame 104), because that's the one moment the ball suddenly changes direction, and our 'predict a straight line' logic breaks exactly then. At the correct bounce frame itself, the auto-tracked position was still only about 4cm off the true sideways answer - almost as good as our hand-tracked number. Next step: build a proper bounce-detector that specifically looks for the moment downward motion flips to upward, rather than trusting the general tracker's guess at where it lands.</t>
  </si>
  <si>
    <t xml:space="preserve">Santhosh's question: have we worked out where the bowler actually let go of the ball, using the same stump-ruler trick as everywhere else? Answer: not until now - we'd only ever used the OFFICIAL answer for the ball's release height, and just guessed a typical distance for how far in front of the crease the bowler releases. So we went and calculated the sideways release position ourselves the same way we do everything else.</t>
  </si>
  <si>
    <t xml:space="preserve">RESULT for sideways release position: C4 comes out at -0.647m vs the true -0.57m (7.7cm off); C5 comes out at -0.665m vs the true -0.596m (6.9cm off). Both correct in direction and roughly the right size, but noticeably less accurate than our bounce/near-bat numbers (which were within 1-4cm). Reason: our sideways 'centre line' (where the stumps sit left-right) was only pinned down using two measurements taken right near the bounce - stretching that same line all the way back to the release frame (10-11 frames earlier) means any tiny wobble in that line gets magnified over a longer stretch. Fixable by taking a couple of real stump-position readings earlier in the run-up too, instead of stretching a 2-point line so far.</t>
  </si>
  <si>
    <t xml:space="preserve">Could NOT do the same for release HEIGHT the way we did for the bounce, and it's worth recording why: our height trick needs two known 'ball is touching the ground here' spots to work from (we used the stumps and the bounce point) - but the bowler releases the ball from all the way at the OTHER end of the pitch, nowhere near either of those two spots, so stretching our existing ground-level line out that far isn't trustworthy. A possible fix: use the bowler's own front foot touching the ground at the moment of release as a THIRD known ground spot near that end of the pitch - not attempted yet, and likely to be rough since the bowler is small and far away in frame at that point, but worth trying next if we want a self-calculated release height instead of using the answer key's number. Also still don't have a way to work out how far in front of the crease the bowler released it (release depth) - currently just assuming a typical distance, not measuring it.</t>
  </si>
  <si>
    <t xml:space="preserve">Tried to fix the release-position number properly, as asked. First thing to fix: our left-right 'centre line' at the release frame was only ever extrapolated backwards from two points measured 11 frames later, near the bounce - a shaky stretch. So this time we went back to the actual release frame and directly measured the real stumps sitting there (two of the three are visible past the batter's legs, giving us a real pixel reading instead of a guess).</t>
  </si>
  <si>
    <t xml:space="preserve">RESULT: it did NOT improve things - using the directly-measured stumps gave a WORSE sideways release number than our original stretched-line guess, not a better one. That tells us something useful even though it's a negative result: the leftover error wasn't really coming from a shaky centre line after all. The more likely real cause is what we flagged before - at the exact instant of release the ball is up near the bowler's head, about 2 metres off the ground, not sitting on the pitch, and a TV camera looking at an angle (not straight overhead) will show something raised up in the air slightly shifted sideways compared to a ground-level ruler. Properly correcting for that needs to know things about the camera itself - exactly how high it's mounted, how far back, and how steeply it's tilted down - and none of that can be read off a normal broadcast video with any confidence. Rather than bolt on a correction built on guesses about the camera, we're leaving the release sideways-position at its current accuracy (about 7-8cm off) and calling this one closed for now - it's already usable, and chasing the last few centimetres here needs information we don't have access to.</t>
  </si>
  <si>
    <t xml:space="preserve">Santhosh shared the subnet's actual required output column list. Checked it against everything we've built (new Field_Coverage sheet) - it's a one-to-one match with the fields we've been calling release_y/z, bounce_x/y, impact_x/y/z, stump_y/z, swing_angle, deviation, kph, confirming we've been building toward the right target the whole time. Scorecard: 5 of 14 real tracking numbers solid (within a few cm), 3 roughly there but soft, 2 are easy wins we haven't done yet (swing angle and deviation - we already have the pieces needed for both), and 4 missing, all tracing back to the same one problem: not yet able to tell how far down the pitch something is from video alone. Innings/over/ball and runs/wickets aren't really tracking-model outputs at all - that's match bookkeeping and outcome data.</t>
  </si>
  <si>
    <t xml:space="preserve">Went looking for a second real-world size reference at the bowler's own end (either his own stumps or the crease markers), to properly solve bounce_x - our single biggest gap and now known to be the single most heavily weighted field (19% of the whole score). First attempt was a false lead: thought we'd found a second, separate set of stumps near the bowler's end in the wide shot, but on closer inspection it was just the same batter's stumps measured again from a different crop - the bowler's own stumps aren't actually visible in this camera angle at all, since the camera sits right at that end.</t>
  </si>
  <si>
    <t xml:space="preserve">BREAKTHROUGH via a different route: since we already know the bowling crease sits at a fixed, rule-based 18.9m from the batter's stumps, and we can watch the clip to see exactly which frame the ball is released and which frame it bounces (both just watching, no answer key), we can use speed x time-in-the-air to work out how far it travelled, and subtract that from 18.9m to get where it pitches. Tested on C4: within 6.5cm of the true answer using the real speed, and still within 4cm using the on-screen speed-gun reading (136.5 kph) instead of the answer key. Tested on C5: within 33cm - a real improvement over guessing, though not as tight as C4. Added a new Bounce_X_Method sheet with the full workings.</t>
  </si>
  <si>
    <t xml:space="preserve">Important catch: this method is EXTREMELY sensitive to getting the speed right - re-ran C4 using our own earlier (weaker) timing-based speed guess instead of the true speed, and the error jumped from 6.5cm to 84cm just from a ~5% speed error. So improving our own speed calculation (for clips where the broadcast doesn't show a speed-gun graphic) isn't a separate task from solving bounce_x anymore - it's part of the same problem now, since bounce_x needs a good speed number to work at all.</t>
  </si>
  <si>
    <t xml:space="preserve">Dug into why our own timing-based speed guess was off (asked to keep this method alive as a fallback for whenever the broadcast doesn't show a speed-gun graphic). Found the cause: our old calc used the WHOLE flight (release to bat), which blends the fast pre-bounce ball with the much slower post-bounce hop after it grips the pitch. C4 (only 15% of its flight time was post-bounce) was off by -5.8kph; C5 (41% of its flight time was post-bounce) was off by a huge -38.8kph. The more time spent crawling along after the bounce, the worse the average speed underestimates the real release speed.</t>
  </si>
  <si>
    <t xml:space="preserve">Fix: time only the PRE-BOUNCE part of the flight (release frame to bounce frame) instead of the whole thing. Tested: C4 goes from -5.8kph off to -0.5kph off; C5 goes from -38.8kph off to +3.0kph off. Big improvement. Catch: this needs to already know roughly where the ball bounces, which is the very thing speed is used to calculate - so it's a second-pass sharpening step (get a rough speed -&gt; rough bounce_x -&gt; re-time pre-bounce only -&gt; sharper speed -&gt; sharper bounce_x), not a from-scratch answer.</t>
  </si>
  <si>
    <t xml:space="preserve">Also tried a genuinely from-scratch idea for clips with no speed reading available at all: cricket balls keep a fairly consistent % of their speed after bouncing, so if we knew that % reliably we could solve for release speed using gravity/timing alone. Checked it on our 2 known clips: C4 kept ~47% of its speed after the bounce, C5 only ~28% - too inconsistent to trust with just 2 clips and only 2-7 video frames to time the bounce-to-bat gap. Logged as a genuine but unfinished idea (Speed_Method sheet), not used yet - didn't want to bolt on a shaky number and call it solved.</t>
  </si>
  <si>
    <t xml:space="preserve">Santhosh asked for an honest current scorecard estimate. Used the REAL subnet weights (from Score_Dashboard.pdf) against our actual accuracy on each field and worked out a rough total: about 51 out of 100 as things stand today. Added a new Score_Estimate sheet with the full breakdown and the big caveat that we don't know the validator's exact scoring formula (pass/fail vs sliding scale) or how we'd do on the 3 example clips we haven't run yet - this is our best honest guess, not a guarantee. Biggest single opportunity found: swing_angle and deviation (18% combined) are worth zero right now purely because we haven't coded the formula yet, even though we already have every number they need - that's free points sitting on the table, not a hard tracking problem.</t>
  </si>
  <si>
    <t xml:space="preserve">Agreed next-steps order with Santhosh, priced by how many points each is actually worth: (1) build swing_angle and deviation - 18 points sitting at zero, and we already have every number both formulas need, so this is pure paperwork not new tracking. (2) run the bounce_x + speed method on the remaining 3 example clips (only tested on 2 so far) - this is the single most valuable field (19 points) and we need to know if it holds up or falls apart on clips we haven't seen. (3) same for kph (16 points) - test the pre-bounce-timing fix on all 5 clips, not just 2. (4) only after those three: look at the smaller missing fields (release_z, impact_x, interception_distance - 6 points combined) since they're worth far less. (5) once the maths is solid on all 5 clips, the real remaining job is turning this from a spreadsheet exercise into the actual miner - a Docker box running a small web server that takes a video link and hands back these numbers automatically within 30 seconds, per the subnet's rules - none of that packaging work has started yet.</t>
  </si>
  <si>
    <t xml:space="preserve">Santhosh said to actually try building swing_angle and deviation, since we'd called them 'free points' earlier. Correction: they're not free. Built the simple version (straight line release-&gt;bounce for swing, and the bend in that line at the bounce for deviation) and tested against both known balls. Deviation nailed C5 almost exactly (0.037 vs true 0.04) - but that ball happens to fly dead straight (true swing=0), which is the one case where the simple straight-line approach is actually correct. On C4, which genuinely swings in the air, both swing_angle and deviation came out wrong (wrong sign and size).</t>
  </si>
  <si>
    <t xml:space="preserve">Root cause: a ball that swings curves through the air, so a straight line drawn only between its release point and bounce point doesn't show which way it was actually pointing right before landing - it only shows the average direction, and the curve gets washed out. Fix isn't a better formula, it's tracking 1-2 more points: the ball's spot a couple of frames before it bounces (most important, needed for deviation), and ideally one soon after release too (needed for a proper swing_angle). Logged as the real next step in a new Swing_Deviation_Attempt sheet - being upfront that the earlier 'free points' framing was wrong rather than quietly moving past it.</t>
  </si>
  <si>
    <t xml:space="preserve">Tried Santhosh's suggestion literally: walk frame by frame from release to bounce, plot every position, fit a curve. Hit a real wall doing it by hand on the broadcast footage - the ball is clearly visible at release (isolated against grass), but for most of the frames between release and the bounce it's hidden behind the bat, gloves, or the batter's body as the camera's focus follows the shot. Not a coding problem - a visibility problem in this particular camera angle. A proper trained ball-detection model (not hand-picking pixels) would likely do much better here, which is worth remembering for when this becomes a real submission rather than a prototype.</t>
  </si>
  <si>
    <t xml:space="preserve">Built a visual pitch map instead (published as a page, not just numbers in a sheet): a top-down view of the actual pitch with stumps at both ends, showing exactly where each ball was released, where it bounced, and where it finished - plus a side view of its height. Placed the answer-key path and our straight-line swing/deviation calculation side by side on the same dots, so you can see why the straight-line shortcut matches perfectly on the ball that flies dead straight (Ball 5) but misses badly on the ball that genuinely swings (Ball 4) - the map makes the earlier Swing_Deviation_Attempt finding visible instead of just a table of numbers.</t>
  </si>
  <si>
    <t xml:space="preserve">2026-09-14</t>
  </si>
  <si>
    <t xml:space="preserve">Santhosh said to go ahead and use the newly trained ball-detector's frame-by-frame tracking to properly compute swing_angle and deviation, now that we can see the ball in nearly every frame instead of just 2 points. Built a 3-point camera calibration for each clip (stump base, release point, bounce point) to convert the tracked pixels into real sideways-distance numbers, then compared the ball's direction near release against its direction right near the bounce (instead of one straight line for the whole flight).</t>
  </si>
  <si>
    <t xml:space="preserve">Result for swing_angle: big improvement on the straight ball (C5: -0.03 vs true 0.00, was +0.97 with the old 2-point method) and a smaller error on the swinging ball (C4: +0.02 vs true -0.16, was +0.72 with the old method) - still wrong sign on C4 because the true swing there is only a 4-5cm bend over 15m, which is about the same size as our own measurement noise. Genuinely better, not yet reliable for a real swinging delivery.</t>
  </si>
  <si>
    <t xml:space="preserve">Tried extending the same dense-tracking idea to deviation (using frames after the bounce too) - it backfired badly (C5 came out as -4 degrees vs true 0.04) because it needed the shaky 'post-bounce speed retention' number from the Speed_Method sheet to work out depth per frame, and that number was already known to be unreliable. Dropped this approach for deviation and kept the older, simpler bounce-to-stumps line method instead, which still works about as well as before.</t>
  </si>
  <si>
    <t xml:space="preserve">Santhosh said to go ahead with the calibration upgrade idea from the Basque Pelota paper (their trick: use a proper checkerboard-based calibration instead of a few guessed points). Tried the closest equivalent we could manage on already-filmed footage: added a 4th calibration point (stump height, base to top) so the model would also correct for how far above the ground a point is, which our first calibration ignored entirely.</t>
  </si>
  <si>
    <t xml:space="preserve">Result: it made swing_angle WORSE, not better (C4 went from +0.02 to +0.29 vs true -0.16). Root cause - the stumps are only about 12 pixels tall in our footage, so measuring their height in pixels is extremely noisy, and that noise poisoned the whole calibration once fed in. Also tried to find the painted crease lines as a sturdier alternative reference point (which is closer to what the Pelota paper actually does) - the crease markings in our footage are too faint/worn to pinpoint reliably, so that option is off the table with this footage.</t>
  </si>
  <si>
    <t xml:space="preserve">Decision: kept the original 3-point calibration (our best result so far) and rejected the 4-point version. Recommending we stop chasing more swing_angle/deviation precision for now - it's hit a real wall given what our footage can offer - and instead spend effort testing the trained ball-detector on the 3 example clips we haven't touched yet, since bounce_x and kph together are worth almost twice as much (35%) as swing_angle and deviation combined (18%).</t>
  </si>
  <si>
    <t xml:space="preserve">Santhosh said okay to try the detector on the 3 example clips we hadn't touched all session (f81d092b, 9ef5c0e6, 98e537a2). Scanned through all of them with the trained ball-detector to locate each delivery automatically instead of hunting frame-by-frame by eye.</t>
  </si>
  <si>
    <t xml:space="preserve">Found something important: C4 and C5 both happen to use the same tight 'straight down the pitch from behind the bowler' camera, which our whole pipeline (calibration, bounce_x maths, swing) is built around. These 3 clips use different filming: two are wide, full-ground side-on shots (totally different geometry, would need a fresh calibration built from scratch); one is a heavily-edited highlights package where we found the ball clearly for the WRONG ball in the over, not the exact delivery the answer key asks about - the real one is buried somewhere in a sequence of cutaways and replays we haven't isolated yet.</t>
  </si>
  <si>
    <t xml:space="preserve">This isn't a quick fix - each different camera angle effectively needs its own calibration work, and edited/highlight-style footage needs a way to automatically find the right shot before we can even start tracking. Logged this honestly as a real scope item for next time rather than rushing a wrong answer through. Added a new Other_3_Clips_Attempt sheet with the details. Score_Estimate stays labelled as tested on 2 of 5 clips, not changed by this - we didn't get numbers to add for these 3 yet, just a much clearer picture of what's actually needed to get them.</t>
  </si>
  <si>
    <t xml:space="preserve">bounce_x_m (distance in front of batter's stumps)</t>
  </si>
  <si>
    <t xml:space="preserve">length_category</t>
  </si>
  <si>
    <t xml:space="preserve">source</t>
  </si>
  <si>
    <t xml:space="preserve">Short of a length</t>
  </si>
  <si>
    <t xml:space="preserve">official answer key</t>
  </si>
  <si>
    <t xml:space="preserve">Good length</t>
  </si>
  <si>
    <t xml:space="preserve">Full length</t>
  </si>
  <si>
    <t xml:space="preserve">Length bands used (as given): Yorker/very full &lt;=2m, Full 2-4m, Good 4-8m, Short &gt;8m, measured as distance the ball pitches in front of the batter's stumps. These bands come from the official answer key's bounce_x for these 5 example clips. Working these out for a brand-new clip (no answer key) still needs us to estimate bounce_x ourselves from the video, which is the next open piece - see Notes.</t>
  </si>
  <si>
    <t xml:space="preserve">Part 1: height purely from physics (release height + speed + gravity), no pixels at all - release to bounce</t>
  </si>
  <si>
    <t xml:space="preserve">frame</t>
  </si>
  <si>
    <t xml:space="preserve">predicted_height_m (physics only)</t>
  </si>
  <si>
    <t xml:space="preserve">release ball height + gravity drop, assuming ~16.6m release point and constant speed</t>
  </si>
  <si>
    <t xml:space="preserve">-</t>
  </si>
  <si>
    <t xml:space="preserve">release ~frame 94.6 (we start tracking at 93)</t>
  </si>
  <si>
    <t xml:space="preserve">assumed release point 16.6m in front of batter's stumps (typical fast-bowler release, ~2.3m in front of bowling crease)</t>
  </si>
  <si>
    <t xml:space="preserve">Part 2: post-bounce plausibility check - what upward 'pop' speed off the pitch would explain each height number</t>
  </si>
  <si>
    <t xml:space="preserve">time_since_bounce_s</t>
  </si>
  <si>
    <t xml:space="preserve">height_m</t>
  </si>
  <si>
    <t xml:space="preserve">implied_pop_up_speed_m_s</t>
  </si>
  <si>
    <t xml:space="preserve">our pixel-based answer</t>
  </si>
  <si>
    <t xml:space="preserve">true answer</t>
  </si>
  <si>
    <t xml:space="preserve">What this means in plain terms: for the part of the flight BEFORE the ball pitches, we can work out how high it is using pure physics - release height, ball speed, and gravity - with no pixel measurement at all. This is useful because before the bounce we don't have two known ground-level points to interpolate between (we only get that trick to work AFTER the bounce, between the bounce spot and the stumps). After the bounce, physics alone can't hand us an exact height because nobody knows exactly how much 'kick' a pitch will give the ball - that's genuinely unpredictable and is exactly why batters have to watch the pitch and react. What we CAN do is a sanity check: work out what upward pitch-kick speed would be needed to produce our pixel-based number, and see if that's a normal, believable number for a cricket pitch (roughly 1.5-3.5 m/s is typical). For C5 both our answer and the true answer point to a very ordinary pop-up speed (2.4-2.7 m/s) - good agreement. For C4 both are a little higher than typical (3.6-4.9 m/s), but that check is extremely sensitive here because we're only 1 video frame (0.04s) after the bounce - a tiny timing error swings this a lot. Bottom line: physics doesn't hand us the post-bounce answer for free, but it's a good gut-check on whether our numbers are in the right ballpark, and it fully solves the pre-bounce height problem, which we had no way to answer before.</t>
  </si>
  <si>
    <t xml:space="preserve">Our ruler (fixed stump height) vs the paper's ruler (batsman's own height) - same math, only the ruler swapped</t>
  </si>
  <si>
    <t xml:space="preserve">what it measures</t>
  </si>
  <si>
    <t xml:space="preserve">true answer (m)</t>
  </si>
  <si>
    <t xml:space="preserve">our stump-ruler result (m)</t>
  </si>
  <si>
    <t xml:space="preserve">batsman-ruler result (m)</t>
  </si>
  <si>
    <t xml:space="preserve">stump error / batsman error</t>
  </si>
  <si>
    <t xml:space="preserve">sideways position where it pitches</t>
  </si>
  <si>
    <t xml:space="preserve">3.3cm / 5.9cm</t>
  </si>
  <si>
    <t xml:space="preserve">sideways position just before the bat</t>
  </si>
  <si>
    <t xml:space="preserve">0.8cm / 3.2cm</t>
  </si>
  <si>
    <t xml:space="preserve">sideways position where it pitches (anchor frame - both methods start equal here)</t>
  </si>
  <si>
    <t xml:space="preserve">2.2cm / 2.2cm</t>
  </si>
  <si>
    <t xml:space="preserve">sideways position right after it pitches</t>
  </si>
  <si>
    <t xml:space="preserve">0.3cm / 0.9cm</t>
  </si>
  <si>
    <t xml:space="preserve">What we tested: Santhosh downloaded the dataset behind the IEEE paper we looked at earlier, and asked us to actually try the paper's method side by side with ours rather than just talk about it. Their dataset itself only ships annotation files pointing at specific YouTube frames, not the video frames or a ready-to-run trained model, so we couldn't run their exact model on our 5 clips. What we COULD do fairly: copy their core idea - track something of a known size to work out how much the camera has zoomed in - but swap in their choice of ruler (the batsman's own height, tracked automatically with an off-the-shelf person detector) in place of ours (the stumps, which we measure by hand), with everything else in the calculation left exactly the same, and see which one lands closer to the real answer.</t>
  </si>
  <si>
    <t xml:space="preserve">Result: our stump ruler wins in every case, and the gap gets bigger the further the frame is from where we last checked the ruler (C4's checks are 11-12 frames from the anchor point and the batsman-ruler error roughly doubles; C5's checks are only 1 frame away and the two methods are nearly tied). This makes sense - the stumps are a fixed size by law, so once we've measured them carefully they don't wobble, but a batsman shifts stance, crouches, and lifts the bat as the ball arrives, and an automatic person-detector box jitters frame to frame - all of that noise feeds straight into the ruler and drifts further off the more frames you extrapolate across. The paper's choice isn't wrong for their situation: a fully automatic pipeline processing thousands of deliveries can't hand-measure stumps in every frame, and the batsman usually stays visible for longer since the stumps get hidden behind his own body as the camera zooms in. But for us, since we're measuring by hand anyway, sticking with the stumps was the right call.</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</si>
</sst>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name val="Arial"/>
      <family val="0"/>
      <charset val="1"/>
    </font>
    <font>
      <i val="true"/>
      <sz val="9"/>
      <color rgb="FF808080"/>
      <name val="Arial"/>
      <family val="0"/>
      <charset val="1"/>
    </font>
    <font>
      <b val="true"/>
      <sz val="11"/>
      <name val="Arial"/>
      <family val="0"/>
      <charset val="1"/>
    </font>
  </fonts>
  <fills count="8">
    <fill>
      <patternFill patternType="none"/>
    </fill>
    <fill>
      <patternFill patternType="gray125"/>
    </fill>
    <fill>
      <patternFill patternType="solid">
        <fgColor rgb="FF305496"/>
        <bgColor rgb="FF666699"/>
      </patternFill>
    </fill>
    <fill>
      <patternFill patternType="solid">
        <fgColor rgb="FFFFEB9C"/>
        <bgColor rgb="FFFFFFCC"/>
      </patternFill>
    </fill>
    <fill>
      <patternFill patternType="solid">
        <fgColor rgb="FFC6EFCE"/>
        <bgColor rgb="FFE0E0E0"/>
      </patternFill>
    </fill>
    <fill>
      <patternFill patternType="solid">
        <fgColor rgb="FFFFC7CE"/>
        <bgColor rgb="FFD9D9D9"/>
      </patternFill>
    </fill>
    <fill>
      <patternFill patternType="solid">
        <fgColor rgb="FFD9D9D9"/>
        <bgColor rgb="FFE0E0E0"/>
      </patternFill>
    </fill>
    <fill>
      <patternFill patternType="solid">
        <fgColor rgb="FFE0E0E0"/>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7" fillId="6" borderId="0" xfId="0" applyFont="true" applyBorder="false" applyAlignment="true" applyProtection="false">
      <alignment horizontal="general" vertical="bottom" textRotation="0" wrapText="true" indent="0" shrinkToFit="false"/>
      <protection locked="true" hidden="false"/>
    </xf>
    <xf numFmtId="164" fontId="5" fillId="7"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0E0E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2"/>
    <col collapsed="false" customWidth="true" hidden="false" outlineLevel="0" max="4" min="3" style="1" width="7"/>
    <col collapsed="false" customWidth="true" hidden="false" outlineLevel="0" max="5" min="5" style="1" width="6"/>
    <col collapsed="false" customWidth="true" hidden="false" outlineLevel="0" max="6" min="6" style="1" width="11"/>
    <col collapsed="false" customWidth="true" hidden="false" outlineLevel="0" max="7" min="7" style="1" width="10"/>
    <col collapsed="false" customWidth="true" hidden="false" outlineLevel="0" max="10" min="8" style="1" width="14"/>
    <col collapsed="false" customWidth="true" hidden="false" outlineLevel="0" max="11" min="11" style="1" width="30"/>
    <col collapsed="false" customWidth="true" hidden="false" outlineLevel="0" max="12" min="12" style="1" width="20"/>
    <col collapsed="false" customWidth="true" hidden="false" outlineLevel="0" max="13" min="13" style="1" width="55"/>
  </cols>
  <sheetData>
    <row r="1" customFormat="false" ht="39"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row>
    <row r="2" customFormat="false" ht="15" hidden="false" customHeight="true" outlineLevel="0" collapsed="false">
      <c r="A2" s="3" t="s">
        <v>13</v>
      </c>
      <c r="B2" s="3" t="s">
        <v>14</v>
      </c>
      <c r="C2" s="3" t="n">
        <v>1920</v>
      </c>
      <c r="D2" s="3" t="n">
        <v>1080</v>
      </c>
      <c r="E2" s="3" t="n">
        <v>25</v>
      </c>
      <c r="F2" s="3" t="n">
        <v>813</v>
      </c>
      <c r="G2" s="3" t="n">
        <v>32.52</v>
      </c>
      <c r="H2" s="3"/>
      <c r="I2" s="3"/>
      <c r="J2" s="3"/>
      <c r="K2" s="3" t="s">
        <v>15</v>
      </c>
      <c r="L2" s="3" t="s">
        <v>16</v>
      </c>
      <c r="M2" s="3" t="s">
        <v>17</v>
      </c>
    </row>
    <row r="3" customFormat="false" ht="15" hidden="false" customHeight="true" outlineLevel="0" collapsed="false">
      <c r="A3" s="3" t="s">
        <v>18</v>
      </c>
      <c r="B3" s="3" t="s">
        <v>19</v>
      </c>
      <c r="C3" s="3" t="n">
        <v>1280</v>
      </c>
      <c r="D3" s="3" t="n">
        <v>720</v>
      </c>
      <c r="E3" s="3" t="n">
        <v>30</v>
      </c>
      <c r="F3" s="3" t="n">
        <v>1260</v>
      </c>
      <c r="G3" s="3" t="n">
        <v>42</v>
      </c>
      <c r="H3" s="3"/>
      <c r="I3" s="3"/>
      <c r="J3" s="3"/>
      <c r="K3" s="3" t="s">
        <v>20</v>
      </c>
      <c r="L3" s="3" t="s">
        <v>21</v>
      </c>
      <c r="M3" s="3"/>
    </row>
    <row r="4" customFormat="false" ht="15" hidden="false" customHeight="true" outlineLevel="0" collapsed="false">
      <c r="A4" s="3" t="s">
        <v>22</v>
      </c>
      <c r="B4" s="3" t="s">
        <v>23</v>
      </c>
      <c r="C4" s="3" t="n">
        <v>1920</v>
      </c>
      <c r="D4" s="3" t="n">
        <v>1080</v>
      </c>
      <c r="E4" s="3" t="n">
        <v>25</v>
      </c>
      <c r="F4" s="3" t="n">
        <v>1295</v>
      </c>
      <c r="G4" s="3" t="n">
        <v>51.8</v>
      </c>
      <c r="H4" s="3"/>
      <c r="I4" s="3"/>
      <c r="J4" s="3"/>
      <c r="K4" s="3" t="s">
        <v>20</v>
      </c>
      <c r="L4" s="3" t="s">
        <v>21</v>
      </c>
      <c r="M4" s="3"/>
    </row>
    <row r="5" customFormat="false" ht="15" hidden="false" customHeight="true" outlineLevel="0" collapsed="false">
      <c r="A5" s="3" t="s">
        <v>24</v>
      </c>
      <c r="B5" s="3" t="s">
        <v>25</v>
      </c>
      <c r="C5" s="3" t="n">
        <v>1920</v>
      </c>
      <c r="D5" s="3" t="n">
        <v>1080</v>
      </c>
      <c r="E5" s="3" t="n">
        <v>25</v>
      </c>
      <c r="F5" s="3" t="n">
        <v>543</v>
      </c>
      <c r="G5" s="3" t="n">
        <v>21.72</v>
      </c>
      <c r="H5" s="3"/>
      <c r="I5" s="3"/>
      <c r="J5" s="3"/>
      <c r="K5" s="3" t="s">
        <v>26</v>
      </c>
      <c r="L5" s="3" t="s">
        <v>21</v>
      </c>
      <c r="M5" s="3"/>
    </row>
    <row r="6" customFormat="false" ht="15" hidden="false" customHeight="true" outlineLevel="0" collapsed="false">
      <c r="A6" s="3" t="s">
        <v>27</v>
      </c>
      <c r="B6" s="3" t="s">
        <v>28</v>
      </c>
      <c r="C6" s="3" t="n">
        <v>1920</v>
      </c>
      <c r="D6" s="3" t="n">
        <v>1080</v>
      </c>
      <c r="E6" s="3" t="n">
        <v>25</v>
      </c>
      <c r="F6" s="3" t="n">
        <v>556</v>
      </c>
      <c r="G6" s="3" t="n">
        <v>22.24</v>
      </c>
      <c r="H6" s="3" t="n">
        <v>42</v>
      </c>
      <c r="I6" s="3" t="n">
        <v>139</v>
      </c>
      <c r="J6" s="3" t="n">
        <v>74</v>
      </c>
      <c r="K6" s="3" t="s">
        <v>29</v>
      </c>
      <c r="L6" s="3" t="s">
        <v>30</v>
      </c>
      <c r="M6" s="3"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5"/>
    <col collapsed="false" customWidth="true" hidden="false" outlineLevel="0" max="17" min="3" style="1" width="13"/>
  </cols>
  <sheetData>
    <row r="1" customFormat="false" ht="26.25" hidden="false" customHeight="true" outlineLevel="0" collapsed="false">
      <c r="A1" s="2" t="s">
        <v>0</v>
      </c>
      <c r="B1" s="2" t="s">
        <v>32</v>
      </c>
      <c r="C1" s="2" t="s">
        <v>33</v>
      </c>
      <c r="D1" s="2" t="s">
        <v>34</v>
      </c>
      <c r="E1" s="2" t="s">
        <v>35</v>
      </c>
      <c r="F1" s="2" t="s">
        <v>36</v>
      </c>
      <c r="G1" s="2" t="s">
        <v>37</v>
      </c>
      <c r="H1" s="2" t="s">
        <v>38</v>
      </c>
      <c r="I1" s="2" t="s">
        <v>39</v>
      </c>
      <c r="J1" s="2" t="s">
        <v>40</v>
      </c>
      <c r="K1" s="2" t="s">
        <v>41</v>
      </c>
      <c r="L1" s="2" t="s">
        <v>42</v>
      </c>
      <c r="M1" s="2" t="s">
        <v>43</v>
      </c>
      <c r="N1" s="2" t="s">
        <v>44</v>
      </c>
      <c r="O1" s="2" t="s">
        <v>45</v>
      </c>
      <c r="P1" s="2" t="s">
        <v>46</v>
      </c>
      <c r="Q1" s="2" t="s">
        <v>47</v>
      </c>
    </row>
    <row r="2" customFormat="false" ht="15" hidden="false" customHeight="true" outlineLevel="0" collapsed="false">
      <c r="A2" s="3" t="s">
        <v>13</v>
      </c>
      <c r="B2" s="3" t="s">
        <v>48</v>
      </c>
      <c r="C2" s="3" t="n">
        <v>138.58</v>
      </c>
      <c r="D2" s="3" t="n">
        <v>-0.594</v>
      </c>
      <c r="E2" s="3" t="n">
        <v>2.173</v>
      </c>
      <c r="F2" s="3" t="n">
        <v>8.177</v>
      </c>
      <c r="G2" s="3" t="n">
        <v>-0.295</v>
      </c>
      <c r="H2" s="3" t="n">
        <v>2.017</v>
      </c>
      <c r="I2" s="3" t="n">
        <v>-0.124</v>
      </c>
      <c r="J2" s="3" t="n">
        <v>0.788</v>
      </c>
      <c r="K2" s="3" t="n">
        <v>6.16</v>
      </c>
      <c r="L2" s="3" t="n">
        <v>-0.074</v>
      </c>
      <c r="M2" s="3" t="n">
        <v>0.964</v>
      </c>
      <c r="N2" s="3" t="n">
        <v>0.33</v>
      </c>
      <c r="O2" s="3" t="n">
        <v>-0.09</v>
      </c>
      <c r="P2" s="3" t="n">
        <v>1</v>
      </c>
      <c r="Q2" s="3" t="n">
        <v>0</v>
      </c>
    </row>
    <row r="3" customFormat="false" ht="15" hidden="false" customHeight="true" outlineLevel="0" collapsed="false">
      <c r="A3" s="3" t="s">
        <v>18</v>
      </c>
      <c r="B3" s="3" t="s">
        <v>49</v>
      </c>
      <c r="C3" s="3" t="n">
        <v>127.96</v>
      </c>
      <c r="D3" s="3" t="n">
        <v>-0.646</v>
      </c>
      <c r="E3" s="3" t="n">
        <v>1.816</v>
      </c>
      <c r="F3" s="3" t="n">
        <v>13.284</v>
      </c>
      <c r="G3" s="3" t="n">
        <v>-0.714</v>
      </c>
      <c r="H3" s="3"/>
      <c r="I3" s="3"/>
      <c r="J3" s="3"/>
      <c r="K3" s="3"/>
      <c r="L3" s="3" t="n">
        <v>-0.554</v>
      </c>
      <c r="M3" s="3" t="n">
        <v>2.046</v>
      </c>
      <c r="N3" s="3" t="n">
        <v>-0.62</v>
      </c>
      <c r="O3" s="3" t="n">
        <v>1.06</v>
      </c>
      <c r="P3" s="3" t="n">
        <v>0</v>
      </c>
      <c r="Q3" s="3" t="n">
        <v>0</v>
      </c>
    </row>
    <row r="4" customFormat="false" ht="15" hidden="false" customHeight="true" outlineLevel="0" collapsed="false">
      <c r="A4" s="3" t="s">
        <v>22</v>
      </c>
      <c r="B4" s="3" t="s">
        <v>50</v>
      </c>
      <c r="C4" s="3" t="n">
        <v>114.18</v>
      </c>
      <c r="D4" s="3" t="n">
        <v>-0.706</v>
      </c>
      <c r="E4" s="3" t="n">
        <v>2.075</v>
      </c>
      <c r="F4" s="3" t="n">
        <v>5.286</v>
      </c>
      <c r="G4" s="3" t="n">
        <v>-0.215</v>
      </c>
      <c r="H4" s="3" t="n">
        <v>2.094</v>
      </c>
      <c r="I4" s="3" t="n">
        <v>-0.049</v>
      </c>
      <c r="J4" s="3" t="n">
        <v>0.448</v>
      </c>
      <c r="K4" s="3" t="n">
        <v>3.192</v>
      </c>
      <c r="L4" s="3" t="n">
        <v>0.059</v>
      </c>
      <c r="M4" s="3" t="n">
        <v>0.64</v>
      </c>
      <c r="N4" s="3" t="n">
        <v>-1.01</v>
      </c>
      <c r="O4" s="3" t="n">
        <v>1.51</v>
      </c>
      <c r="P4" s="3" t="n">
        <v>0</v>
      </c>
      <c r="Q4" s="3" t="n">
        <v>0</v>
      </c>
    </row>
    <row r="5" customFormat="false" ht="15" hidden="false" customHeight="true" outlineLevel="0" collapsed="false">
      <c r="A5" s="3" t="s">
        <v>24</v>
      </c>
      <c r="B5" s="3" t="s">
        <v>51</v>
      </c>
      <c r="C5" s="3" t="n">
        <v>136.69</v>
      </c>
      <c r="D5" s="3" t="n">
        <v>-0.57</v>
      </c>
      <c r="E5" s="3" t="n">
        <v>2.161</v>
      </c>
      <c r="F5" s="3" t="n">
        <v>2.258</v>
      </c>
      <c r="G5" s="3" t="n">
        <v>-0.36</v>
      </c>
      <c r="H5" s="3" t="n">
        <v>0.826</v>
      </c>
      <c r="I5" s="3" t="n">
        <v>-0.335</v>
      </c>
      <c r="J5" s="3" t="n">
        <v>0.187</v>
      </c>
      <c r="K5" s="3" t="n">
        <v>1.433</v>
      </c>
      <c r="L5" s="3" t="n">
        <v>-0.32</v>
      </c>
      <c r="M5" s="3" t="n">
        <v>0.265</v>
      </c>
      <c r="N5" s="3" t="n">
        <v>-0.16</v>
      </c>
      <c r="O5" s="3" t="n">
        <v>0.45</v>
      </c>
      <c r="P5" s="3" t="n">
        <v>1</v>
      </c>
      <c r="Q5" s="3" t="n">
        <v>0</v>
      </c>
    </row>
    <row r="6" customFormat="false" ht="15" hidden="false" customHeight="true" outlineLevel="0" collapsed="false">
      <c r="A6" s="3" t="s">
        <v>27</v>
      </c>
      <c r="B6" s="3" t="s">
        <v>52</v>
      </c>
      <c r="C6" s="3" t="n">
        <v>138.82</v>
      </c>
      <c r="D6" s="3" t="n">
        <v>-0.596</v>
      </c>
      <c r="E6" s="3" t="n">
        <v>2.158</v>
      </c>
      <c r="F6" s="3" t="n">
        <v>3.142</v>
      </c>
      <c r="G6" s="3" t="n">
        <v>-0.33</v>
      </c>
      <c r="H6" s="3"/>
      <c r="I6" s="3"/>
      <c r="J6" s="3"/>
      <c r="K6" s="3"/>
      <c r="L6" s="3" t="n">
        <v>-0.279</v>
      </c>
      <c r="M6" s="3" t="n">
        <v>0.292</v>
      </c>
      <c r="N6" s="3" t="n">
        <v>0</v>
      </c>
      <c r="O6" s="3" t="n">
        <v>0.04</v>
      </c>
      <c r="P6" s="3" t="n">
        <v>0</v>
      </c>
      <c r="Q6" s="3" t="n">
        <v>0</v>
      </c>
    </row>
    <row r="8" customFormat="false" ht="15" hidden="false" customHeight="true" outlineLevel="0" collapsed="false">
      <c r="A8" s="4"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4"/>
    <col collapsed="false" customWidth="true" hidden="false" outlineLevel="0" max="3" min="3" style="1" width="20"/>
    <col collapsed="false" customWidth="true" hidden="false" outlineLevel="0" max="4" min="4" style="1" width="16"/>
    <col collapsed="false" customWidth="true" hidden="false" outlineLevel="0" max="5" min="5" style="1" width="12"/>
    <col collapsed="false" customWidth="true" hidden="false" outlineLevel="0" max="6" min="6" style="1" width="40"/>
  </cols>
  <sheetData>
    <row r="1" customFormat="false" ht="15" hidden="false" customHeight="true" outlineLevel="0" collapsed="false">
      <c r="A1" s="5" t="s">
        <v>54</v>
      </c>
      <c r="B1" s="5"/>
      <c r="C1" s="5"/>
      <c r="D1" s="5"/>
      <c r="E1" s="5"/>
      <c r="F1" s="5"/>
    </row>
    <row r="3" customFormat="false" ht="15" hidden="false" customHeight="true" outlineLevel="0" collapsed="false">
      <c r="A3" s="6" t="s">
        <v>55</v>
      </c>
    </row>
    <row r="4" customFormat="false" ht="27.75" hidden="false" customHeight="true" outlineLevel="0" collapsed="false">
      <c r="A4" s="7" t="s">
        <v>56</v>
      </c>
      <c r="B4" s="7"/>
      <c r="C4" s="7"/>
      <c r="D4" s="7"/>
      <c r="E4" s="7"/>
      <c r="F4" s="7"/>
    </row>
    <row r="5" customFormat="false" ht="27.75" hidden="false" customHeight="true" outlineLevel="0" collapsed="false">
      <c r="A5" s="7" t="s">
        <v>57</v>
      </c>
      <c r="B5" s="7"/>
      <c r="C5" s="7"/>
      <c r="D5" s="7"/>
      <c r="E5" s="7"/>
      <c r="F5" s="7"/>
    </row>
    <row r="6" customFormat="false" ht="15" hidden="false" customHeight="true" outlineLevel="0" collapsed="false">
      <c r="A6" s="7" t="s">
        <v>58</v>
      </c>
      <c r="B6" s="7"/>
      <c r="C6" s="7"/>
      <c r="D6" s="7"/>
      <c r="E6" s="7"/>
      <c r="F6" s="7"/>
    </row>
    <row r="7" customFormat="false" ht="15" hidden="false" customHeight="true" outlineLevel="0" collapsed="false">
      <c r="A7" s="7" t="s">
        <v>59</v>
      </c>
      <c r="B7" s="7"/>
      <c r="C7" s="7"/>
      <c r="D7" s="7"/>
      <c r="E7" s="7"/>
      <c r="F7" s="7"/>
    </row>
    <row r="9" customFormat="false" ht="26.25" hidden="false" customHeight="true" outlineLevel="0" collapsed="false">
      <c r="A9" s="2" t="s">
        <v>60</v>
      </c>
      <c r="B9" s="2" t="s">
        <v>61</v>
      </c>
      <c r="C9" s="2" t="s">
        <v>62</v>
      </c>
      <c r="D9" s="2" t="s">
        <v>63</v>
      </c>
      <c r="E9" s="2" t="s">
        <v>64</v>
      </c>
      <c r="F9" s="2" t="s">
        <v>65</v>
      </c>
    </row>
    <row r="10" customFormat="false" ht="15" hidden="false" customHeight="true" outlineLevel="0" collapsed="false">
      <c r="A10" s="8" t="s">
        <v>24</v>
      </c>
      <c r="B10" s="8" t="s">
        <v>66</v>
      </c>
      <c r="C10" s="8" t="n">
        <v>2.193</v>
      </c>
      <c r="D10" s="8" t="n">
        <v>2.258</v>
      </c>
      <c r="E10" s="8" t="s">
        <v>67</v>
      </c>
      <c r="F10" s="8" t="s">
        <v>68</v>
      </c>
    </row>
    <row r="11" customFormat="false" ht="26.25" hidden="false" customHeight="true" outlineLevel="0" collapsed="false">
      <c r="A11" s="8" t="s">
        <v>24</v>
      </c>
      <c r="B11" s="8" t="s">
        <v>69</v>
      </c>
      <c r="C11" s="8" t="n">
        <v>2.217</v>
      </c>
      <c r="D11" s="8" t="n">
        <v>2.258</v>
      </c>
      <c r="E11" s="8" t="s">
        <v>70</v>
      </c>
      <c r="F11" s="8" t="s">
        <v>71</v>
      </c>
    </row>
    <row r="12" customFormat="false" ht="39" hidden="false" customHeight="true" outlineLevel="0" collapsed="false">
      <c r="A12" s="8" t="s">
        <v>24</v>
      </c>
      <c r="B12" s="8" t="s">
        <v>72</v>
      </c>
      <c r="C12" s="8" t="n">
        <v>3.097</v>
      </c>
      <c r="D12" s="8" t="n">
        <v>2.258</v>
      </c>
      <c r="E12" s="8" t="s">
        <v>73</v>
      </c>
      <c r="F12" s="8" t="s">
        <v>74</v>
      </c>
    </row>
    <row r="13" customFormat="false" ht="39" hidden="false" customHeight="true" outlineLevel="0" collapsed="false">
      <c r="A13" s="8" t="s">
        <v>27</v>
      </c>
      <c r="B13" s="8" t="s">
        <v>75</v>
      </c>
      <c r="C13" s="8" t="n">
        <v>3.476</v>
      </c>
      <c r="D13" s="8" t="n">
        <v>3.142</v>
      </c>
      <c r="E13" s="8" t="s">
        <v>76</v>
      </c>
      <c r="F13" s="8" t="s">
        <v>77</v>
      </c>
    </row>
    <row r="15" customFormat="false" ht="99.75" hidden="false" customHeight="true" outlineLevel="0" collapsed="false">
      <c r="A15" s="9" t="s">
        <v>78</v>
      </c>
      <c r="B15" s="9"/>
      <c r="C15" s="9"/>
      <c r="D15" s="9"/>
      <c r="E15" s="9"/>
      <c r="F15" s="9"/>
    </row>
  </sheetData>
  <mergeCells count="6">
    <mergeCell ref="A1:F1"/>
    <mergeCell ref="A4:F4"/>
    <mergeCell ref="A5:F5"/>
    <mergeCell ref="A6:F6"/>
    <mergeCell ref="A7:F7"/>
    <mergeCell ref="A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0"/>
    <col collapsed="false" customWidth="true" hidden="false" outlineLevel="0" max="3" min="3" style="1" width="45"/>
    <col collapsed="false" customWidth="true" hidden="false" outlineLevel="0" max="4" min="4" style="1" width="30"/>
  </cols>
  <sheetData>
    <row r="1" customFormat="false" ht="15" hidden="false" customHeight="true" outlineLevel="0" collapsed="false">
      <c r="A1" s="5" t="s">
        <v>79</v>
      </c>
      <c r="B1" s="5"/>
      <c r="C1" s="5"/>
      <c r="D1" s="5"/>
      <c r="E1" s="5"/>
      <c r="F1" s="5"/>
    </row>
    <row r="3" customFormat="false" ht="15" hidden="false" customHeight="true" outlineLevel="0" collapsed="false">
      <c r="A3" s="6" t="s">
        <v>80</v>
      </c>
    </row>
    <row r="4" customFormat="false" ht="27.75" hidden="false" customHeight="true" outlineLevel="0" collapsed="false">
      <c r="A4" s="7" t="s">
        <v>81</v>
      </c>
      <c r="B4" s="7"/>
      <c r="C4" s="7"/>
      <c r="D4" s="7"/>
      <c r="E4" s="7"/>
      <c r="F4" s="7"/>
    </row>
    <row r="5" customFormat="false" ht="54.75" hidden="false" customHeight="true" outlineLevel="0" collapsed="false">
      <c r="A5" s="7" t="s">
        <v>82</v>
      </c>
      <c r="B5" s="7"/>
      <c r="C5" s="7"/>
      <c r="D5" s="7"/>
      <c r="E5" s="7"/>
      <c r="F5" s="7"/>
    </row>
    <row r="7" customFormat="false" ht="26.25" hidden="false" customHeight="true" outlineLevel="0" collapsed="false">
      <c r="A7" s="2" t="s">
        <v>60</v>
      </c>
      <c r="B7" s="2" t="s">
        <v>83</v>
      </c>
      <c r="C7" s="2" t="s">
        <v>84</v>
      </c>
      <c r="D7" s="2" t="s">
        <v>11</v>
      </c>
    </row>
    <row r="8" customFormat="false" ht="39" hidden="false" customHeight="true" outlineLevel="0" collapsed="false">
      <c r="A8" s="8" t="s">
        <v>85</v>
      </c>
      <c r="B8" s="8" t="s">
        <v>86</v>
      </c>
      <c r="C8" s="8" t="s">
        <v>87</v>
      </c>
      <c r="D8" s="8" t="s">
        <v>88</v>
      </c>
    </row>
    <row r="9" customFormat="false" ht="39" hidden="false" customHeight="true" outlineLevel="0" collapsed="false">
      <c r="A9" s="8" t="s">
        <v>89</v>
      </c>
      <c r="B9" s="8" t="s">
        <v>90</v>
      </c>
      <c r="C9" s="8" t="s">
        <v>91</v>
      </c>
      <c r="D9" s="8" t="s">
        <v>92</v>
      </c>
    </row>
    <row r="10" customFormat="false" ht="26.25" hidden="false" customHeight="true" outlineLevel="0" collapsed="false">
      <c r="A10" s="8" t="s">
        <v>93</v>
      </c>
      <c r="B10" s="8" t="s">
        <v>94</v>
      </c>
      <c r="C10" s="8" t="s">
        <v>95</v>
      </c>
      <c r="D10" s="8" t="s">
        <v>96</v>
      </c>
    </row>
    <row r="12" customFormat="false" ht="15" hidden="false" customHeight="true" outlineLevel="0" collapsed="false">
      <c r="A12" s="6" t="s">
        <v>97</v>
      </c>
    </row>
    <row r="13" customFormat="false" ht="41.25" hidden="false" customHeight="true" outlineLevel="0" collapsed="false">
      <c r="A13" s="7" t="s">
        <v>98</v>
      </c>
      <c r="B13" s="7"/>
      <c r="C13" s="7"/>
      <c r="D13" s="7"/>
      <c r="E13" s="7"/>
      <c r="F13" s="7"/>
    </row>
    <row r="14" customFormat="false" ht="27.75" hidden="false" customHeight="true" outlineLevel="0" collapsed="false">
      <c r="A14" s="7" t="s">
        <v>99</v>
      </c>
      <c r="B14" s="7"/>
      <c r="C14" s="7"/>
      <c r="D14" s="7"/>
      <c r="E14" s="7"/>
      <c r="F14" s="7"/>
    </row>
    <row r="16" customFormat="false" ht="90" hidden="false" customHeight="true" outlineLevel="0" collapsed="false">
      <c r="A16" s="9" t="s">
        <v>100</v>
      </c>
      <c r="B16" s="9"/>
      <c r="C16" s="9"/>
      <c r="D16" s="9"/>
      <c r="E16" s="9"/>
      <c r="F16" s="9"/>
    </row>
    <row r="18" customFormat="false" ht="15" hidden="false" customHeight="true" outlineLevel="0" collapsed="false">
      <c r="A18" s="10" t="s">
        <v>101</v>
      </c>
      <c r="B18" s="10"/>
      <c r="C18" s="10"/>
      <c r="D18" s="10"/>
      <c r="E18" s="10"/>
      <c r="F18" s="10"/>
    </row>
    <row r="20" customFormat="false" ht="15" hidden="false" customHeight="false" outlineLevel="0" collapsed="false">
      <c r="A20" s="11" t="s">
        <v>102</v>
      </c>
    </row>
    <row r="21" customFormat="false" ht="39.55" hidden="false" customHeight="true" outlineLevel="0" collapsed="false">
      <c r="A21" s="12" t="s">
        <v>103</v>
      </c>
      <c r="B21" s="12"/>
      <c r="C21" s="12"/>
      <c r="D21" s="12"/>
      <c r="E21" s="12"/>
      <c r="F21" s="12"/>
    </row>
    <row r="23" customFormat="false" ht="15" hidden="false" customHeight="false" outlineLevel="0" collapsed="false">
      <c r="A23" s="13" t="s">
        <v>60</v>
      </c>
      <c r="B23" s="13" t="s">
        <v>104</v>
      </c>
      <c r="C23" s="13" t="s">
        <v>105</v>
      </c>
      <c r="D23" s="13" t="s">
        <v>106</v>
      </c>
    </row>
    <row r="24" customFormat="false" ht="64.9" hidden="false" customHeight="false" outlineLevel="0" collapsed="false">
      <c r="A24" s="8" t="s">
        <v>107</v>
      </c>
      <c r="B24" s="8" t="s">
        <v>108</v>
      </c>
      <c r="C24" s="8" t="s">
        <v>109</v>
      </c>
      <c r="D24" s="8" t="s">
        <v>110</v>
      </c>
    </row>
    <row r="25" customFormat="false" ht="39.55" hidden="false" customHeight="false" outlineLevel="0" collapsed="false">
      <c r="A25" s="8" t="s">
        <v>111</v>
      </c>
      <c r="B25" s="8" t="s">
        <v>112</v>
      </c>
      <c r="C25" s="8" t="s">
        <v>113</v>
      </c>
      <c r="D25" s="8" t="s">
        <v>114</v>
      </c>
    </row>
    <row r="27" customFormat="false" ht="15" hidden="false" customHeight="false" outlineLevel="0" collapsed="false">
      <c r="A27" s="11" t="s">
        <v>115</v>
      </c>
    </row>
    <row r="28" customFormat="false" ht="52.2" hidden="false" customHeight="true" outlineLevel="0" collapsed="false">
      <c r="A28" s="12" t="s">
        <v>116</v>
      </c>
      <c r="B28" s="12"/>
      <c r="C28" s="12"/>
      <c r="D28" s="12"/>
      <c r="E28" s="12"/>
      <c r="F28" s="12"/>
    </row>
    <row r="29" customFormat="false" ht="26.85" hidden="false" customHeight="true" outlineLevel="0" collapsed="false">
      <c r="A29" s="12" t="s">
        <v>117</v>
      </c>
      <c r="B29" s="12"/>
      <c r="C29" s="12"/>
      <c r="D29" s="12"/>
      <c r="E29" s="12"/>
      <c r="F29" s="12"/>
    </row>
    <row r="31" customFormat="false" ht="32.8" hidden="false" customHeight="true" outlineLevel="0" collapsed="false">
      <c r="A31" s="14" t="s">
        <v>118</v>
      </c>
      <c r="B31" s="14"/>
      <c r="C31" s="14"/>
      <c r="D31" s="14"/>
      <c r="E31" s="14"/>
      <c r="F31" s="14"/>
    </row>
  </sheetData>
  <mergeCells count="11">
    <mergeCell ref="A1:F1"/>
    <mergeCell ref="A4:F4"/>
    <mergeCell ref="A5:F5"/>
    <mergeCell ref="A13:F13"/>
    <mergeCell ref="A14:F14"/>
    <mergeCell ref="A16:F16"/>
    <mergeCell ref="A18:F18"/>
    <mergeCell ref="A21:F21"/>
    <mergeCell ref="A28:F28"/>
    <mergeCell ref="A29:F29"/>
    <mergeCell ref="A31:F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2"/>
    <col collapsed="false" customWidth="true" hidden="false" outlineLevel="0" max="3" min="3" style="1" width="12"/>
    <col collapsed="false" customWidth="true" hidden="false" outlineLevel="0" max="4" min="4" style="1" width="40"/>
  </cols>
  <sheetData>
    <row r="1" customFormat="false" ht="15" hidden="false" customHeight="true" outlineLevel="0" collapsed="false">
      <c r="A1" s="5" t="s">
        <v>119</v>
      </c>
      <c r="B1" s="5"/>
      <c r="C1" s="5"/>
      <c r="D1" s="5"/>
      <c r="E1" s="5"/>
      <c r="F1" s="5"/>
    </row>
    <row r="3" customFormat="false" ht="15" hidden="false" customHeight="true" outlineLevel="0" collapsed="false">
      <c r="A3" s="6" t="s">
        <v>120</v>
      </c>
    </row>
    <row r="4" customFormat="false" ht="41.25" hidden="false" customHeight="true" outlineLevel="0" collapsed="false">
      <c r="A4" s="7" t="s">
        <v>121</v>
      </c>
      <c r="B4" s="7"/>
      <c r="C4" s="7"/>
      <c r="D4" s="7"/>
      <c r="E4" s="7"/>
      <c r="F4" s="7"/>
    </row>
    <row r="5" customFormat="false" ht="41.25" hidden="false" customHeight="true" outlineLevel="0" collapsed="false">
      <c r="A5" s="7" t="s">
        <v>122</v>
      </c>
      <c r="B5" s="7"/>
      <c r="C5" s="7"/>
      <c r="D5" s="7"/>
      <c r="E5" s="7"/>
      <c r="F5" s="7"/>
    </row>
    <row r="7" customFormat="false" ht="26.25" hidden="false" customHeight="true" outlineLevel="0" collapsed="false">
      <c r="A7" s="2" t="s">
        <v>123</v>
      </c>
      <c r="B7" s="2" t="s">
        <v>124</v>
      </c>
      <c r="C7" s="2" t="s">
        <v>125</v>
      </c>
      <c r="D7" s="2" t="s">
        <v>126</v>
      </c>
    </row>
    <row r="8" customFormat="false" ht="26.25" hidden="false" customHeight="true" outlineLevel="0" collapsed="false">
      <c r="A8" s="8" t="s">
        <v>127</v>
      </c>
      <c r="B8" s="8" t="s">
        <v>128</v>
      </c>
      <c r="C8" s="8" t="s">
        <v>129</v>
      </c>
      <c r="D8" s="8" t="s">
        <v>130</v>
      </c>
    </row>
    <row r="9" customFormat="false" ht="26.25" hidden="false" customHeight="true" outlineLevel="0" collapsed="false">
      <c r="A9" s="8" t="s">
        <v>131</v>
      </c>
      <c r="B9" s="8" t="s">
        <v>132</v>
      </c>
      <c r="C9" s="8" t="s">
        <v>129</v>
      </c>
      <c r="D9" s="8" t="s">
        <v>133</v>
      </c>
    </row>
    <row r="11" customFormat="false" ht="15" hidden="false" customHeight="true" outlineLevel="0" collapsed="false">
      <c r="A11" s="6" t="s">
        <v>134</v>
      </c>
    </row>
    <row r="12" customFormat="false" ht="54.75" hidden="false" customHeight="true" outlineLevel="0" collapsed="false">
      <c r="A12" s="7" t="s">
        <v>135</v>
      </c>
      <c r="B12" s="7"/>
      <c r="C12" s="7"/>
      <c r="D12" s="7"/>
      <c r="E12" s="7"/>
      <c r="F12" s="7"/>
    </row>
    <row r="13" customFormat="false" ht="41.25" hidden="false" customHeight="true" outlineLevel="0" collapsed="false">
      <c r="A13" s="7" t="s">
        <v>136</v>
      </c>
      <c r="B13" s="7"/>
      <c r="C13" s="7"/>
      <c r="D13" s="7"/>
      <c r="E13" s="7"/>
      <c r="F13" s="7"/>
    </row>
    <row r="15" customFormat="false" ht="109.5" hidden="false" customHeight="true" outlineLevel="0" collapsed="false">
      <c r="A15" s="9" t="s">
        <v>137</v>
      </c>
      <c r="B15" s="9"/>
      <c r="C15" s="9"/>
      <c r="D15" s="9"/>
      <c r="E15" s="9"/>
      <c r="F15" s="9"/>
    </row>
  </sheetData>
  <mergeCells count="6">
    <mergeCell ref="A1:F1"/>
    <mergeCell ref="A4:F4"/>
    <mergeCell ref="A5:F5"/>
    <mergeCell ref="A12:F12"/>
    <mergeCell ref="A13:F13"/>
    <mergeCell ref="A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40"/>
    <col collapsed="false" customWidth="true" hidden="false" outlineLevel="0" max="4" min="4" style="1" width="12"/>
    <col collapsed="false" customWidth="true" hidden="false" outlineLevel="0" max="5" min="5" style="1" width="45"/>
  </cols>
  <sheetData>
    <row r="1" customFormat="false" ht="15" hidden="false" customHeight="true" outlineLevel="0" collapsed="false">
      <c r="A1" s="5" t="s">
        <v>138</v>
      </c>
      <c r="B1" s="5"/>
      <c r="C1" s="5"/>
      <c r="D1" s="5"/>
      <c r="E1" s="5"/>
      <c r="F1" s="5"/>
    </row>
    <row r="3" customFormat="false" ht="15" hidden="false" customHeight="true" outlineLevel="0" collapsed="false">
      <c r="A3" s="6" t="s">
        <v>139</v>
      </c>
    </row>
    <row r="4" customFormat="false" ht="27.75" hidden="false" customHeight="true" outlineLevel="0" collapsed="false">
      <c r="A4" s="7" t="s">
        <v>140</v>
      </c>
      <c r="B4" s="7"/>
      <c r="C4" s="7"/>
      <c r="D4" s="7"/>
      <c r="E4" s="7"/>
      <c r="F4" s="7"/>
    </row>
    <row r="5" customFormat="false" ht="41.25" hidden="false" customHeight="true" outlineLevel="0" collapsed="false">
      <c r="A5" s="7" t="s">
        <v>141</v>
      </c>
      <c r="B5" s="7"/>
      <c r="C5" s="7"/>
      <c r="D5" s="7"/>
      <c r="E5" s="7"/>
      <c r="F5" s="7"/>
    </row>
    <row r="7" customFormat="false" ht="15" hidden="false" customHeight="true" outlineLevel="0" collapsed="false">
      <c r="A7" s="6" t="s">
        <v>142</v>
      </c>
    </row>
    <row r="8" customFormat="false" ht="26.25" hidden="false" customHeight="true" outlineLevel="0" collapsed="false">
      <c r="A8" s="2" t="s">
        <v>60</v>
      </c>
      <c r="B8" s="2" t="s">
        <v>143</v>
      </c>
      <c r="C8" s="2" t="s">
        <v>144</v>
      </c>
      <c r="D8" s="2" t="s">
        <v>125</v>
      </c>
      <c r="E8" s="2" t="s">
        <v>126</v>
      </c>
    </row>
    <row r="9" customFormat="false" ht="39" hidden="false" customHeight="true" outlineLevel="0" collapsed="false">
      <c r="A9" s="8" t="s">
        <v>24</v>
      </c>
      <c r="B9" s="8" t="s">
        <v>145</v>
      </c>
      <c r="C9" s="8" t="s">
        <v>128</v>
      </c>
      <c r="D9" s="8" t="s">
        <v>129</v>
      </c>
      <c r="E9" s="8" t="s">
        <v>146</v>
      </c>
    </row>
    <row r="10" customFormat="false" ht="39" hidden="false" customHeight="true" outlineLevel="0" collapsed="false">
      <c r="A10" s="8" t="s">
        <v>27</v>
      </c>
      <c r="B10" s="8" t="s">
        <v>147</v>
      </c>
      <c r="C10" s="8" t="s">
        <v>148</v>
      </c>
      <c r="D10" s="8" t="s">
        <v>149</v>
      </c>
      <c r="E10" s="8" t="s">
        <v>150</v>
      </c>
    </row>
    <row r="12" customFormat="false" ht="68.25" hidden="false" customHeight="true" outlineLevel="0" collapsed="false">
      <c r="A12" s="7" t="s">
        <v>151</v>
      </c>
      <c r="B12" s="7"/>
      <c r="C12" s="7"/>
      <c r="D12" s="7"/>
      <c r="E12" s="7"/>
      <c r="F12" s="7"/>
    </row>
    <row r="14" customFormat="false" ht="15" hidden="false" customHeight="true" outlineLevel="0" collapsed="false">
      <c r="A14" s="6" t="s">
        <v>152</v>
      </c>
    </row>
    <row r="15" customFormat="false" ht="54.75" hidden="false" customHeight="true" outlineLevel="0" collapsed="false">
      <c r="A15" s="7" t="s">
        <v>153</v>
      </c>
      <c r="B15" s="7"/>
      <c r="C15" s="7"/>
      <c r="D15" s="7"/>
      <c r="E15" s="7"/>
      <c r="F15" s="7"/>
    </row>
    <row r="16" customFormat="false" ht="27.75" hidden="false" customHeight="true" outlineLevel="0" collapsed="false">
      <c r="A16" s="7" t="s">
        <v>154</v>
      </c>
      <c r="B16" s="7"/>
      <c r="C16" s="7"/>
      <c r="D16" s="7"/>
      <c r="E16" s="7"/>
      <c r="F16" s="7"/>
    </row>
    <row r="17" customFormat="false" ht="54.75" hidden="false" customHeight="true" outlineLevel="0" collapsed="false">
      <c r="A17" s="7" t="s">
        <v>155</v>
      </c>
      <c r="B17" s="7"/>
      <c r="C17" s="7"/>
      <c r="D17" s="7"/>
      <c r="E17" s="7"/>
      <c r="F17" s="7"/>
    </row>
    <row r="19" customFormat="false" ht="90" hidden="false" customHeight="true" outlineLevel="0" collapsed="false">
      <c r="A19" s="9" t="s">
        <v>156</v>
      </c>
      <c r="B19" s="9"/>
      <c r="C19" s="9"/>
      <c r="D19" s="9"/>
      <c r="E19" s="9"/>
      <c r="F19" s="9"/>
    </row>
  </sheetData>
  <mergeCells count="8">
    <mergeCell ref="A1:F1"/>
    <mergeCell ref="A4:F4"/>
    <mergeCell ref="A5:F5"/>
    <mergeCell ref="A12:F12"/>
    <mergeCell ref="A15:F15"/>
    <mergeCell ref="A16:F16"/>
    <mergeCell ref="A17:F17"/>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16"/>
    <col collapsed="false" customWidth="true" hidden="false" outlineLevel="0" max="4" min="4" style="1" width="14"/>
    <col collapsed="false" customWidth="true" hidden="false" outlineLevel="0" max="5" min="5" style="1" width="40"/>
  </cols>
  <sheetData>
    <row r="1" customFormat="false" ht="15" hidden="false" customHeight="true" outlineLevel="0" collapsed="false">
      <c r="A1" s="5" t="s">
        <v>157</v>
      </c>
      <c r="B1" s="5"/>
      <c r="C1" s="5"/>
      <c r="D1" s="5"/>
      <c r="E1" s="5"/>
      <c r="F1" s="5"/>
    </row>
    <row r="3" customFormat="false" ht="15" hidden="false" customHeight="true" outlineLevel="0" collapsed="false">
      <c r="A3" s="6" t="s">
        <v>158</v>
      </c>
    </row>
    <row r="4" customFormat="false" ht="54.75" hidden="false" customHeight="true" outlineLevel="0" collapsed="false">
      <c r="A4" s="7" t="s">
        <v>159</v>
      </c>
      <c r="B4" s="7"/>
      <c r="C4" s="7"/>
      <c r="D4" s="7"/>
      <c r="E4" s="7"/>
      <c r="F4" s="7"/>
    </row>
    <row r="6" customFormat="false" ht="15" hidden="false" customHeight="true" outlineLevel="0" collapsed="false">
      <c r="A6" s="6" t="s">
        <v>160</v>
      </c>
    </row>
    <row r="7" customFormat="false" ht="15" hidden="false" customHeight="true" outlineLevel="0" collapsed="false">
      <c r="A7" s="7" t="s">
        <v>161</v>
      </c>
      <c r="B7" s="7"/>
      <c r="C7" s="7"/>
      <c r="D7" s="7"/>
      <c r="E7" s="7"/>
      <c r="F7" s="7"/>
    </row>
    <row r="8" customFormat="false" ht="27.75" hidden="false" customHeight="true" outlineLevel="0" collapsed="false">
      <c r="A8" s="7" t="s">
        <v>162</v>
      </c>
      <c r="B8" s="7"/>
      <c r="C8" s="7"/>
      <c r="D8" s="7"/>
      <c r="E8" s="7"/>
      <c r="F8" s="7"/>
    </row>
    <row r="10" customFormat="false" ht="15" hidden="false" customHeight="true" outlineLevel="0" collapsed="false">
      <c r="A10" s="2" t="s">
        <v>60</v>
      </c>
      <c r="B10" s="2" t="s">
        <v>163</v>
      </c>
      <c r="C10" s="2" t="s">
        <v>164</v>
      </c>
      <c r="D10" s="2" t="s">
        <v>125</v>
      </c>
      <c r="E10" s="2" t="s">
        <v>126</v>
      </c>
    </row>
    <row r="11" customFormat="false" ht="15" hidden="false" customHeight="true" outlineLevel="0" collapsed="false">
      <c r="A11" s="8" t="s">
        <v>24</v>
      </c>
      <c r="B11" s="8" t="s">
        <v>44</v>
      </c>
      <c r="C11" s="8" t="s">
        <v>145</v>
      </c>
      <c r="D11" s="8" t="s">
        <v>129</v>
      </c>
      <c r="E11" s="8" t="s">
        <v>165</v>
      </c>
    </row>
    <row r="12" customFormat="false" ht="15" hidden="false" customHeight="true" outlineLevel="0" collapsed="false">
      <c r="A12" s="8" t="s">
        <v>24</v>
      </c>
      <c r="B12" s="8" t="s">
        <v>45</v>
      </c>
      <c r="C12" s="8" t="s">
        <v>166</v>
      </c>
      <c r="D12" s="8" t="s">
        <v>167</v>
      </c>
      <c r="E12" s="8" t="s">
        <v>165</v>
      </c>
    </row>
    <row r="13" customFormat="false" ht="26.25" hidden="false" customHeight="true" outlineLevel="0" collapsed="false">
      <c r="A13" s="8" t="s">
        <v>27</v>
      </c>
      <c r="B13" s="8" t="s">
        <v>44</v>
      </c>
      <c r="C13" s="8" t="s">
        <v>147</v>
      </c>
      <c r="D13" s="8" t="s">
        <v>149</v>
      </c>
      <c r="E13" s="8" t="s">
        <v>168</v>
      </c>
    </row>
    <row r="14" customFormat="false" ht="15" hidden="false" customHeight="true" outlineLevel="0" collapsed="false">
      <c r="A14" s="8" t="s">
        <v>27</v>
      </c>
      <c r="B14" s="8" t="s">
        <v>45</v>
      </c>
      <c r="C14" s="8" t="s">
        <v>169</v>
      </c>
      <c r="D14" s="8" t="s">
        <v>170</v>
      </c>
      <c r="E14" s="8" t="s">
        <v>171</v>
      </c>
    </row>
    <row r="16" customFormat="false" ht="15" hidden="false" customHeight="true" outlineLevel="0" collapsed="false">
      <c r="A16" s="6" t="s">
        <v>172</v>
      </c>
    </row>
    <row r="17" customFormat="false" ht="27.75" hidden="false" customHeight="true" outlineLevel="0" collapsed="false">
      <c r="A17" s="7" t="s">
        <v>173</v>
      </c>
      <c r="B17" s="7"/>
      <c r="C17" s="7"/>
      <c r="D17" s="7"/>
      <c r="E17" s="7"/>
      <c r="F17" s="7"/>
    </row>
    <row r="18" customFormat="false" ht="54.75" hidden="false" customHeight="true" outlineLevel="0" collapsed="false">
      <c r="A18" s="7" t="s">
        <v>174</v>
      </c>
      <c r="B18" s="7"/>
      <c r="C18" s="7"/>
      <c r="D18" s="7"/>
      <c r="E18" s="7"/>
      <c r="F18" s="7"/>
    </row>
    <row r="19" customFormat="false" ht="68.25" hidden="false" customHeight="true" outlineLevel="0" collapsed="false">
      <c r="A19" s="7" t="s">
        <v>175</v>
      </c>
      <c r="B19" s="7"/>
      <c r="C19" s="7"/>
      <c r="D19" s="7"/>
      <c r="E19" s="7"/>
      <c r="F19" s="7"/>
    </row>
    <row r="21" customFormat="false" ht="90" hidden="false" customHeight="true" outlineLevel="0" collapsed="false">
      <c r="A21" s="9" t="s">
        <v>176</v>
      </c>
      <c r="B21" s="9"/>
      <c r="C21" s="9"/>
      <c r="D21" s="9"/>
      <c r="E21" s="9"/>
      <c r="F21" s="9"/>
    </row>
  </sheetData>
  <mergeCells count="8">
    <mergeCell ref="A1:F1"/>
    <mergeCell ref="A4:F4"/>
    <mergeCell ref="A7:F7"/>
    <mergeCell ref="A8:F8"/>
    <mergeCell ref="A17:F17"/>
    <mergeCell ref="A18:F18"/>
    <mergeCell ref="A19:F19"/>
    <mergeCell ref="A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2"/>
    <col collapsed="false" customWidth="true" hidden="false" outlineLevel="0" max="3" min="3" style="1" width="16"/>
    <col collapsed="false" customWidth="true" hidden="false" outlineLevel="0" max="4" min="4" style="1" width="14"/>
    <col collapsed="false" customWidth="true" hidden="false" outlineLevel="0" max="5" min="5" style="1" width="12"/>
    <col collapsed="false" customWidth="true" hidden="false" outlineLevel="0" max="6" min="6" style="1" width="55"/>
  </cols>
  <sheetData>
    <row r="1" customFormat="false" ht="15" hidden="false" customHeight="true" outlineLevel="0" collapsed="false">
      <c r="A1" s="5" t="s">
        <v>177</v>
      </c>
      <c r="B1" s="5"/>
      <c r="C1" s="5"/>
      <c r="D1" s="5"/>
      <c r="E1" s="5"/>
      <c r="F1" s="5"/>
    </row>
    <row r="3" customFormat="false" ht="15" hidden="false" customHeight="true" outlineLevel="0" collapsed="false">
      <c r="A3" s="6" t="s">
        <v>178</v>
      </c>
    </row>
    <row r="4" customFormat="false" ht="27.75" hidden="false" customHeight="true" outlineLevel="0" collapsed="false">
      <c r="A4" s="7" t="s">
        <v>179</v>
      </c>
      <c r="B4" s="7"/>
      <c r="C4" s="7"/>
      <c r="D4" s="7"/>
      <c r="E4" s="7"/>
      <c r="F4" s="7"/>
    </row>
    <row r="5" customFormat="false" ht="27.75" hidden="false" customHeight="true" outlineLevel="0" collapsed="false">
      <c r="A5" s="7" t="s">
        <v>180</v>
      </c>
      <c r="B5" s="7"/>
      <c r="C5" s="7"/>
      <c r="D5" s="7"/>
      <c r="E5" s="7"/>
      <c r="F5" s="7"/>
    </row>
    <row r="7" customFormat="false" ht="26.25" hidden="false" customHeight="true" outlineLevel="0" collapsed="false">
      <c r="A7" s="2" t="s">
        <v>181</v>
      </c>
      <c r="B7" s="2" t="s">
        <v>182</v>
      </c>
      <c r="C7" s="2" t="s">
        <v>183</v>
      </c>
      <c r="D7" s="2" t="s">
        <v>184</v>
      </c>
      <c r="E7" s="2" t="s">
        <v>11</v>
      </c>
      <c r="F7" s="2" t="s">
        <v>185</v>
      </c>
    </row>
    <row r="8" customFormat="false" ht="39" hidden="false" customHeight="true" outlineLevel="0" collapsed="false">
      <c r="A8" s="8" t="s">
        <v>36</v>
      </c>
      <c r="B8" s="8" t="n">
        <v>19</v>
      </c>
      <c r="C8" s="8" t="s">
        <v>186</v>
      </c>
      <c r="D8" s="8" t="n">
        <v>10.5</v>
      </c>
      <c r="E8" s="15" t="s">
        <v>187</v>
      </c>
      <c r="F8" s="8" t="s">
        <v>188</v>
      </c>
    </row>
    <row r="9" customFormat="false" ht="26.25" hidden="false" customHeight="true" outlineLevel="0" collapsed="false">
      <c r="A9" s="8" t="s">
        <v>33</v>
      </c>
      <c r="B9" s="8" t="n">
        <v>16</v>
      </c>
      <c r="C9" s="8" t="s">
        <v>189</v>
      </c>
      <c r="D9" s="8" t="n">
        <v>9.6</v>
      </c>
      <c r="E9" s="15" t="s">
        <v>187</v>
      </c>
      <c r="F9" s="8" t="s">
        <v>190</v>
      </c>
    </row>
    <row r="10" customFormat="false" ht="15" hidden="false" customHeight="true" outlineLevel="0" collapsed="false">
      <c r="A10" s="8" t="s">
        <v>42</v>
      </c>
      <c r="B10" s="8" t="n">
        <v>14</v>
      </c>
      <c r="C10" s="8" t="s">
        <v>191</v>
      </c>
      <c r="D10" s="8" t="n">
        <v>12.6</v>
      </c>
      <c r="E10" s="16" t="s">
        <v>192</v>
      </c>
      <c r="F10" s="8" t="s">
        <v>193</v>
      </c>
    </row>
    <row r="11" customFormat="false" ht="26.25" hidden="false" customHeight="true" outlineLevel="0" collapsed="false">
      <c r="A11" s="8" t="s">
        <v>45</v>
      </c>
      <c r="B11" s="8" t="n">
        <v>10</v>
      </c>
      <c r="C11" s="8" t="s">
        <v>194</v>
      </c>
      <c r="D11" s="8" t="n">
        <v>2</v>
      </c>
      <c r="E11" s="15" t="s">
        <v>187</v>
      </c>
      <c r="F11" s="8" t="s">
        <v>195</v>
      </c>
    </row>
    <row r="12" customFormat="false" ht="15" hidden="false" customHeight="true" outlineLevel="0" collapsed="false">
      <c r="A12" s="8" t="s">
        <v>44</v>
      </c>
      <c r="B12" s="8" t="n">
        <v>8</v>
      </c>
      <c r="C12" s="8" t="s">
        <v>194</v>
      </c>
      <c r="D12" s="8" t="n">
        <v>1.6</v>
      </c>
      <c r="E12" s="15" t="s">
        <v>187</v>
      </c>
      <c r="F12" s="8" t="s">
        <v>196</v>
      </c>
    </row>
    <row r="13" customFormat="false" ht="15" hidden="false" customHeight="true" outlineLevel="0" collapsed="false">
      <c r="A13" s="8" t="s">
        <v>43</v>
      </c>
      <c r="B13" s="8" t="n">
        <v>8</v>
      </c>
      <c r="C13" s="8" t="s">
        <v>197</v>
      </c>
      <c r="D13" s="8" t="n">
        <v>3.6</v>
      </c>
      <c r="E13" s="15" t="s">
        <v>187</v>
      </c>
      <c r="F13" s="8" t="s">
        <v>198</v>
      </c>
    </row>
    <row r="14" customFormat="false" ht="15" hidden="false" customHeight="true" outlineLevel="0" collapsed="false">
      <c r="A14" s="8" t="s">
        <v>34</v>
      </c>
      <c r="B14" s="8" t="n">
        <v>2</v>
      </c>
      <c r="C14" s="8" t="s">
        <v>199</v>
      </c>
      <c r="D14" s="8" t="n">
        <v>1.6</v>
      </c>
      <c r="E14" s="16" t="s">
        <v>192</v>
      </c>
      <c r="F14" s="8" t="s">
        <v>200</v>
      </c>
    </row>
    <row r="15" customFormat="false" ht="15" hidden="false" customHeight="true" outlineLevel="0" collapsed="false">
      <c r="A15" s="8" t="s">
        <v>35</v>
      </c>
      <c r="B15" s="8" t="n">
        <v>2</v>
      </c>
      <c r="C15" s="8" t="s">
        <v>201</v>
      </c>
      <c r="D15" s="8" t="n">
        <v>0</v>
      </c>
      <c r="E15" s="17" t="s">
        <v>202</v>
      </c>
      <c r="F15" s="8" t="s">
        <v>203</v>
      </c>
    </row>
    <row r="16" customFormat="false" ht="15" hidden="false" customHeight="true" outlineLevel="0" collapsed="false">
      <c r="A16" s="8" t="s">
        <v>37</v>
      </c>
      <c r="B16" s="8" t="n">
        <v>2</v>
      </c>
      <c r="C16" s="8" t="s">
        <v>191</v>
      </c>
      <c r="D16" s="8" t="n">
        <v>1.8</v>
      </c>
      <c r="E16" s="16" t="s">
        <v>192</v>
      </c>
      <c r="F16" s="8" t="s">
        <v>204</v>
      </c>
    </row>
    <row r="17" customFormat="false" ht="15" hidden="false" customHeight="true" outlineLevel="0" collapsed="false">
      <c r="A17" s="8" t="s">
        <v>38</v>
      </c>
      <c r="B17" s="8" t="n">
        <v>2</v>
      </c>
      <c r="C17" s="8" t="s">
        <v>201</v>
      </c>
      <c r="D17" s="8" t="n">
        <v>0</v>
      </c>
      <c r="E17" s="17" t="s">
        <v>202</v>
      </c>
      <c r="F17" s="8" t="s">
        <v>205</v>
      </c>
    </row>
    <row r="18" customFormat="false" ht="15" hidden="false" customHeight="true" outlineLevel="0" collapsed="false">
      <c r="A18" s="8" t="s">
        <v>39</v>
      </c>
      <c r="B18" s="8" t="n">
        <v>2</v>
      </c>
      <c r="C18" s="8" t="s">
        <v>199</v>
      </c>
      <c r="D18" s="8" t="n">
        <v>1.6</v>
      </c>
      <c r="E18" s="16" t="s">
        <v>192</v>
      </c>
      <c r="F18" s="8" t="s">
        <v>206</v>
      </c>
    </row>
    <row r="19" customFormat="false" ht="15" hidden="false" customHeight="true" outlineLevel="0" collapsed="false">
      <c r="A19" s="8" t="s">
        <v>40</v>
      </c>
      <c r="B19" s="8" t="n">
        <v>2</v>
      </c>
      <c r="C19" s="8" t="s">
        <v>197</v>
      </c>
      <c r="D19" s="8" t="n">
        <v>0.9</v>
      </c>
      <c r="E19" s="15" t="s">
        <v>187</v>
      </c>
      <c r="F19" s="8" t="s">
        <v>207</v>
      </c>
    </row>
    <row r="20" customFormat="false" ht="15" hidden="false" customHeight="true" outlineLevel="0" collapsed="false">
      <c r="A20" s="8" t="s">
        <v>41</v>
      </c>
      <c r="B20" s="8" t="n">
        <v>2</v>
      </c>
      <c r="C20" s="8" t="s">
        <v>201</v>
      </c>
      <c r="D20" s="8" t="n">
        <v>0</v>
      </c>
      <c r="E20" s="17" t="s">
        <v>202</v>
      </c>
      <c r="F20" s="8" t="s">
        <v>208</v>
      </c>
    </row>
    <row r="21" customFormat="false" ht="26.25" hidden="false" customHeight="true" outlineLevel="0" collapsed="false">
      <c r="A21" s="8" t="s">
        <v>209</v>
      </c>
      <c r="B21" s="8" t="n">
        <v>6</v>
      </c>
      <c r="C21" s="8" t="s">
        <v>199</v>
      </c>
      <c r="D21" s="8" t="n">
        <v>4.8</v>
      </c>
      <c r="E21" s="16" t="s">
        <v>192</v>
      </c>
      <c r="F21" s="8" t="s">
        <v>210</v>
      </c>
    </row>
    <row r="22" customFormat="false" ht="15" hidden="false" customHeight="true" outlineLevel="0" collapsed="false">
      <c r="A22" s="8" t="s">
        <v>211</v>
      </c>
      <c r="B22" s="8" t="n">
        <v>1</v>
      </c>
      <c r="C22" s="8" t="s">
        <v>212</v>
      </c>
      <c r="D22" s="8" t="n">
        <v>0.7</v>
      </c>
      <c r="E22" s="16" t="s">
        <v>213</v>
      </c>
      <c r="F22" s="8" t="s">
        <v>214</v>
      </c>
    </row>
    <row r="23" customFormat="false" ht="15" hidden="false" customHeight="true" outlineLevel="0" collapsed="false">
      <c r="A23" s="8" t="s">
        <v>215</v>
      </c>
      <c r="B23" s="8" t="n">
        <v>2</v>
      </c>
      <c r="C23" s="8" t="s">
        <v>216</v>
      </c>
      <c r="D23" s="8" t="n">
        <v>1.5</v>
      </c>
      <c r="E23" s="16" t="s">
        <v>192</v>
      </c>
      <c r="F23" s="8" t="s">
        <v>217</v>
      </c>
    </row>
    <row r="24" customFormat="false" ht="15" hidden="false" customHeight="true" outlineLevel="0" collapsed="false">
      <c r="A24" s="8" t="s">
        <v>46</v>
      </c>
      <c r="B24" s="8" t="n">
        <v>1</v>
      </c>
      <c r="C24" s="8" t="s">
        <v>218</v>
      </c>
      <c r="D24" s="8" t="n">
        <v>0.9</v>
      </c>
      <c r="E24" s="16" t="s">
        <v>192</v>
      </c>
      <c r="F24" s="8" t="s">
        <v>219</v>
      </c>
    </row>
    <row r="25" customFormat="false" ht="15" hidden="false" customHeight="true" outlineLevel="0" collapsed="false">
      <c r="A25" s="8" t="s">
        <v>47</v>
      </c>
      <c r="B25" s="8" t="n">
        <v>1</v>
      </c>
      <c r="C25" s="8" t="s">
        <v>218</v>
      </c>
      <c r="D25" s="8" t="n">
        <v>0.9</v>
      </c>
      <c r="E25" s="16" t="s">
        <v>192</v>
      </c>
      <c r="F25" s="8" t="s">
        <v>219</v>
      </c>
    </row>
    <row r="26" customFormat="false" ht="15" hidden="false" customHeight="true" outlineLevel="0" collapsed="false">
      <c r="A26" s="18" t="s">
        <v>220</v>
      </c>
      <c r="B26" s="18" t="n">
        <v>100</v>
      </c>
      <c r="C26" s="18"/>
      <c r="D26" s="18" t="n">
        <f aca="false">SUM(D8:D25)</f>
        <v>54.6</v>
      </c>
      <c r="E26" s="18"/>
      <c r="F26" s="18" t="s">
        <v>221</v>
      </c>
    </row>
    <row r="28" customFormat="false" ht="99.75" hidden="false" customHeight="true" outlineLevel="0" collapsed="false">
      <c r="A28" s="9" t="s">
        <v>222</v>
      </c>
      <c r="B28" s="9"/>
      <c r="C28" s="9"/>
      <c r="D28" s="9"/>
      <c r="E28" s="9"/>
      <c r="F28" s="9"/>
    </row>
  </sheetData>
  <mergeCells count="4">
    <mergeCell ref="A1:F1"/>
    <mergeCell ref="A4:F4"/>
    <mergeCell ref="A5:F5"/>
    <mergeCell ref="A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46"/>
    <col collapsed="false" customWidth="true" hidden="false" outlineLevel="0" max="3" min="3" style="1" width="14"/>
    <col collapsed="false" customWidth="true" hidden="false" outlineLevel="0" max="4" min="4" style="1" width="12"/>
    <col collapsed="false" customWidth="true" hidden="false" outlineLevel="0" max="5" min="5" style="1" width="10"/>
    <col collapsed="false" customWidth="true" hidden="false" outlineLevel="0" max="6" min="6" style="1" width="30"/>
  </cols>
  <sheetData>
    <row r="1" customFormat="false" ht="15" hidden="false" customHeight="true" outlineLevel="0" collapsed="false">
      <c r="A1" s="5" t="s">
        <v>223</v>
      </c>
      <c r="B1" s="5"/>
      <c r="C1" s="5"/>
      <c r="D1" s="5"/>
      <c r="E1" s="5"/>
      <c r="F1" s="5"/>
    </row>
    <row r="3" customFormat="false" ht="15" hidden="false" customHeight="true" outlineLevel="0" collapsed="false">
      <c r="A3" s="6" t="s">
        <v>224</v>
      </c>
    </row>
    <row r="4" customFormat="false" ht="15" hidden="false" customHeight="true" outlineLevel="0" collapsed="false">
      <c r="A4" s="7" t="s">
        <v>225</v>
      </c>
      <c r="B4" s="7"/>
      <c r="C4" s="7"/>
      <c r="D4" s="7"/>
      <c r="E4" s="7"/>
      <c r="F4" s="7"/>
    </row>
    <row r="5" customFormat="false" ht="27.75" hidden="false" customHeight="true" outlineLevel="0" collapsed="false">
      <c r="A5" s="7" t="s">
        <v>226</v>
      </c>
      <c r="B5" s="7"/>
      <c r="C5" s="7"/>
      <c r="D5" s="7"/>
      <c r="E5" s="7"/>
      <c r="F5" s="7"/>
    </row>
    <row r="6" customFormat="false" ht="15" hidden="false" customHeight="true" outlineLevel="0" collapsed="false">
      <c r="A6" s="7" t="s">
        <v>227</v>
      </c>
      <c r="B6" s="7"/>
      <c r="C6" s="7"/>
      <c r="D6" s="7"/>
      <c r="E6" s="7"/>
      <c r="F6" s="7"/>
    </row>
    <row r="8" customFormat="false" ht="26.25" hidden="false" customHeight="true" outlineLevel="0" collapsed="false">
      <c r="A8" s="2" t="s">
        <v>60</v>
      </c>
      <c r="B8" s="2" t="s">
        <v>228</v>
      </c>
      <c r="C8" s="2" t="s">
        <v>229</v>
      </c>
      <c r="D8" s="2" t="s">
        <v>230</v>
      </c>
      <c r="E8" s="2" t="s">
        <v>231</v>
      </c>
      <c r="F8" s="2" t="s">
        <v>65</v>
      </c>
    </row>
    <row r="9" customFormat="false" ht="26.25" hidden="false" customHeight="true" outlineLevel="0" collapsed="false">
      <c r="A9" s="8" t="s">
        <v>24</v>
      </c>
      <c r="B9" s="8" t="s">
        <v>232</v>
      </c>
      <c r="C9" s="8" t="n">
        <v>130.8</v>
      </c>
      <c r="D9" s="8" t="n">
        <v>136.69</v>
      </c>
      <c r="E9" s="8" t="s">
        <v>233</v>
      </c>
      <c r="F9" s="8" t="s">
        <v>234</v>
      </c>
    </row>
    <row r="10" customFormat="false" ht="26.25" hidden="false" customHeight="true" outlineLevel="0" collapsed="false">
      <c r="A10" s="8" t="s">
        <v>24</v>
      </c>
      <c r="B10" s="8" t="s">
        <v>235</v>
      </c>
      <c r="C10" s="8" t="n">
        <v>136.2</v>
      </c>
      <c r="D10" s="8" t="n">
        <v>136.69</v>
      </c>
      <c r="E10" s="8" t="s">
        <v>236</v>
      </c>
      <c r="F10" s="8" t="s">
        <v>237</v>
      </c>
    </row>
    <row r="11" customFormat="false" ht="39" hidden="false" customHeight="true" outlineLevel="0" collapsed="false">
      <c r="A11" s="8" t="s">
        <v>27</v>
      </c>
      <c r="B11" s="8" t="s">
        <v>238</v>
      </c>
      <c r="C11" s="8" t="n">
        <v>100.1</v>
      </c>
      <c r="D11" s="8" t="n">
        <v>138.82</v>
      </c>
      <c r="E11" s="8" t="s">
        <v>239</v>
      </c>
      <c r="F11" s="8" t="s">
        <v>240</v>
      </c>
    </row>
    <row r="12" customFormat="false" ht="26.25" hidden="false" customHeight="true" outlineLevel="0" collapsed="false">
      <c r="A12" s="8" t="s">
        <v>27</v>
      </c>
      <c r="B12" s="8" t="s">
        <v>241</v>
      </c>
      <c r="C12" s="8" t="n">
        <v>141.8</v>
      </c>
      <c r="D12" s="8" t="n">
        <v>138.82</v>
      </c>
      <c r="E12" s="8" t="s">
        <v>242</v>
      </c>
      <c r="F12" s="8" t="s">
        <v>237</v>
      </c>
    </row>
    <row r="14" customFormat="false" ht="15" hidden="false" customHeight="true" outlineLevel="0" collapsed="false">
      <c r="A14" s="6" t="s">
        <v>243</v>
      </c>
    </row>
    <row r="15" customFormat="false" ht="41.25" hidden="false" customHeight="true" outlineLevel="0" collapsed="false">
      <c r="A15" s="7" t="s">
        <v>244</v>
      </c>
      <c r="B15" s="7"/>
      <c r="C15" s="7"/>
      <c r="D15" s="7"/>
      <c r="E15" s="7"/>
      <c r="F15" s="7"/>
    </row>
    <row r="16" customFormat="false" ht="41.25" hidden="false" customHeight="true" outlineLevel="0" collapsed="false">
      <c r="A16" s="7" t="s">
        <v>245</v>
      </c>
      <c r="B16" s="7"/>
      <c r="C16" s="7"/>
      <c r="D16" s="7"/>
      <c r="E16" s="7"/>
      <c r="F16" s="7"/>
    </row>
    <row r="18" customFormat="false" ht="15" hidden="false" customHeight="true" outlineLevel="0" collapsed="false">
      <c r="A18" s="6" t="s">
        <v>246</v>
      </c>
    </row>
    <row r="19" customFormat="false" ht="41.25" hidden="false" customHeight="true" outlineLevel="0" collapsed="false">
      <c r="A19" s="7" t="s">
        <v>247</v>
      </c>
      <c r="B19" s="7"/>
      <c r="C19" s="7"/>
      <c r="D19" s="7"/>
      <c r="E19" s="7"/>
      <c r="F19" s="7"/>
    </row>
    <row r="20" customFormat="false" ht="41.25" hidden="false" customHeight="true" outlineLevel="0" collapsed="false">
      <c r="A20" s="7" t="s">
        <v>248</v>
      </c>
      <c r="B20" s="7"/>
      <c r="C20" s="7"/>
      <c r="D20" s="7"/>
      <c r="E20" s="7"/>
      <c r="F20" s="7"/>
    </row>
    <row r="21" customFormat="false" ht="54.75" hidden="false" customHeight="true" outlineLevel="0" collapsed="false">
      <c r="A21" s="7" t="s">
        <v>249</v>
      </c>
      <c r="B21" s="7"/>
      <c r="C21" s="7"/>
      <c r="D21" s="7"/>
      <c r="E21" s="7"/>
      <c r="F21" s="7"/>
    </row>
    <row r="23" customFormat="false" ht="109.5" hidden="false" customHeight="true" outlineLevel="0" collapsed="false">
      <c r="A23" s="9" t="s">
        <v>250</v>
      </c>
      <c r="B23" s="9"/>
      <c r="C23" s="9"/>
      <c r="D23" s="9"/>
      <c r="E23" s="9"/>
      <c r="F23" s="9"/>
    </row>
  </sheetData>
  <mergeCells count="10">
    <mergeCell ref="A1:F1"/>
    <mergeCell ref="A4:F4"/>
    <mergeCell ref="A5:F5"/>
    <mergeCell ref="A6:F6"/>
    <mergeCell ref="A15:F15"/>
    <mergeCell ref="A16:F16"/>
    <mergeCell ref="A19:F19"/>
    <mergeCell ref="A20:F20"/>
    <mergeCell ref="A21:F21"/>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4"/>
    <col collapsed="false" customWidth="true" hidden="false" outlineLevel="0" max="3" min="3" style="1" width="22"/>
    <col collapsed="false" customWidth="true" hidden="false" outlineLevel="0" max="4" min="4" style="1" width="55"/>
    <col collapsed="false" customWidth="true" hidden="false" outlineLevel="0" max="5" min="5" style="1" width="12"/>
  </cols>
  <sheetData>
    <row r="1" customFormat="false" ht="15" hidden="false" customHeight="true" outlineLevel="0" collapsed="false">
      <c r="A1" s="5" t="s">
        <v>251</v>
      </c>
      <c r="B1" s="5"/>
      <c r="C1" s="5"/>
      <c r="D1" s="5"/>
      <c r="E1" s="5"/>
    </row>
    <row r="3" customFormat="false" ht="26.25" hidden="false" customHeight="true" outlineLevel="0" collapsed="false">
      <c r="A3" s="2" t="s">
        <v>252</v>
      </c>
      <c r="B3" s="2" t="s">
        <v>253</v>
      </c>
      <c r="C3" s="2" t="s">
        <v>254</v>
      </c>
      <c r="D3" s="2" t="s">
        <v>255</v>
      </c>
      <c r="E3" s="2" t="s">
        <v>11</v>
      </c>
    </row>
    <row r="4" customFormat="false" ht="51.75" hidden="false" customHeight="true" outlineLevel="0" collapsed="false">
      <c r="A4" s="8" t="s">
        <v>256</v>
      </c>
      <c r="B4" s="8" t="s">
        <v>257</v>
      </c>
      <c r="C4" s="8" t="s">
        <v>258</v>
      </c>
      <c r="D4" s="8" t="s">
        <v>259</v>
      </c>
      <c r="E4" s="19" t="s">
        <v>260</v>
      </c>
    </row>
    <row r="5" customFormat="false" ht="26.25" hidden="false" customHeight="true" outlineLevel="0" collapsed="false">
      <c r="A5" s="8" t="s">
        <v>261</v>
      </c>
      <c r="B5" s="8" t="s">
        <v>262</v>
      </c>
      <c r="C5" s="8" t="s">
        <v>263</v>
      </c>
      <c r="D5" s="8" t="s">
        <v>264</v>
      </c>
      <c r="E5" s="15" t="s">
        <v>187</v>
      </c>
    </row>
    <row r="6" customFormat="false" ht="26.25" hidden="false" customHeight="true" outlineLevel="0" collapsed="false">
      <c r="A6" s="8" t="s">
        <v>265</v>
      </c>
      <c r="B6" s="8" t="s">
        <v>266</v>
      </c>
      <c r="C6" s="8" t="s">
        <v>34</v>
      </c>
      <c r="D6" s="8" t="s">
        <v>267</v>
      </c>
      <c r="E6" s="16" t="s">
        <v>192</v>
      </c>
    </row>
    <row r="7" customFormat="false" ht="51.75" hidden="false" customHeight="true" outlineLevel="0" collapsed="false">
      <c r="A7" s="8" t="s">
        <v>268</v>
      </c>
      <c r="B7" s="8" t="s">
        <v>269</v>
      </c>
      <c r="C7" s="8" t="s">
        <v>35</v>
      </c>
      <c r="D7" s="8" t="s">
        <v>270</v>
      </c>
      <c r="E7" s="17" t="s">
        <v>202</v>
      </c>
    </row>
    <row r="8" customFormat="false" ht="26.25" hidden="false" customHeight="true" outlineLevel="0" collapsed="false">
      <c r="A8" s="8" t="s">
        <v>271</v>
      </c>
      <c r="B8" s="8" t="s">
        <v>272</v>
      </c>
      <c r="C8" s="8" t="s">
        <v>273</v>
      </c>
      <c r="D8" s="8" t="s">
        <v>274</v>
      </c>
      <c r="E8" s="17" t="s">
        <v>202</v>
      </c>
    </row>
    <row r="9" customFormat="false" ht="15" hidden="false" customHeight="true" outlineLevel="0" collapsed="false">
      <c r="A9" s="8" t="s">
        <v>275</v>
      </c>
      <c r="B9" s="8" t="s">
        <v>276</v>
      </c>
      <c r="C9" s="8" t="s">
        <v>37</v>
      </c>
      <c r="D9" s="8" t="s">
        <v>277</v>
      </c>
      <c r="E9" s="16" t="s">
        <v>192</v>
      </c>
    </row>
    <row r="10" customFormat="false" ht="39" hidden="false" customHeight="true" outlineLevel="0" collapsed="false">
      <c r="A10" s="8" t="s">
        <v>278</v>
      </c>
      <c r="B10" s="8" t="s">
        <v>279</v>
      </c>
      <c r="C10" s="8" t="s">
        <v>38</v>
      </c>
      <c r="D10" s="8" t="s">
        <v>280</v>
      </c>
      <c r="E10" s="17" t="s">
        <v>202</v>
      </c>
    </row>
    <row r="11" customFormat="false" ht="26.25" hidden="false" customHeight="true" outlineLevel="0" collapsed="false">
      <c r="A11" s="8" t="s">
        <v>281</v>
      </c>
      <c r="B11" s="8" t="s">
        <v>282</v>
      </c>
      <c r="C11" s="8" t="s">
        <v>283</v>
      </c>
      <c r="D11" s="8" t="s">
        <v>284</v>
      </c>
      <c r="E11" s="16" t="s">
        <v>192</v>
      </c>
    </row>
    <row r="12" customFormat="false" ht="26.25" hidden="false" customHeight="true" outlineLevel="0" collapsed="false">
      <c r="A12" s="8" t="s">
        <v>285</v>
      </c>
      <c r="B12" s="8" t="s">
        <v>286</v>
      </c>
      <c r="C12" s="8" t="s">
        <v>40</v>
      </c>
      <c r="D12" s="8" t="s">
        <v>287</v>
      </c>
      <c r="E12" s="15" t="s">
        <v>187</v>
      </c>
    </row>
    <row r="13" customFormat="false" ht="26.25" hidden="false" customHeight="true" outlineLevel="0" collapsed="false">
      <c r="A13" s="8" t="s">
        <v>288</v>
      </c>
      <c r="B13" s="8" t="s">
        <v>289</v>
      </c>
      <c r="C13" s="8" t="s">
        <v>41</v>
      </c>
      <c r="D13" s="8" t="s">
        <v>290</v>
      </c>
      <c r="E13" s="17" t="s">
        <v>202</v>
      </c>
    </row>
    <row r="14" customFormat="false" ht="26.25" hidden="false" customHeight="true" outlineLevel="0" collapsed="false">
      <c r="A14" s="8" t="s">
        <v>291</v>
      </c>
      <c r="B14" s="8" t="s">
        <v>292</v>
      </c>
      <c r="C14" s="8" t="s">
        <v>42</v>
      </c>
      <c r="D14" s="8" t="s">
        <v>293</v>
      </c>
      <c r="E14" s="16" t="s">
        <v>192</v>
      </c>
    </row>
    <row r="15" customFormat="false" ht="15" hidden="false" customHeight="true" outlineLevel="0" collapsed="false">
      <c r="A15" s="8" t="s">
        <v>294</v>
      </c>
      <c r="B15" s="8" t="s">
        <v>295</v>
      </c>
      <c r="C15" s="8" t="s">
        <v>43</v>
      </c>
      <c r="D15" s="8" t="s">
        <v>296</v>
      </c>
      <c r="E15" s="15" t="s">
        <v>187</v>
      </c>
    </row>
    <row r="16" customFormat="false" ht="39" hidden="false" customHeight="true" outlineLevel="0" collapsed="false">
      <c r="A16" s="8" t="s">
        <v>297</v>
      </c>
      <c r="B16" s="8" t="s">
        <v>298</v>
      </c>
      <c r="C16" s="8" t="s">
        <v>44</v>
      </c>
      <c r="D16" s="8" t="s">
        <v>299</v>
      </c>
      <c r="E16" s="15" t="s">
        <v>300</v>
      </c>
    </row>
    <row r="17" customFormat="false" ht="39" hidden="false" customHeight="true" outlineLevel="0" collapsed="false">
      <c r="A17" s="8" t="s">
        <v>301</v>
      </c>
      <c r="B17" s="8" t="s">
        <v>302</v>
      </c>
      <c r="C17" s="8" t="s">
        <v>45</v>
      </c>
      <c r="D17" s="8" t="s">
        <v>303</v>
      </c>
      <c r="E17" s="15" t="s">
        <v>300</v>
      </c>
    </row>
    <row r="18" customFormat="false" ht="26.25" hidden="false" customHeight="true" outlineLevel="0" collapsed="false">
      <c r="A18" s="8" t="s">
        <v>304</v>
      </c>
      <c r="B18" s="8" t="s">
        <v>305</v>
      </c>
      <c r="C18" s="8" t="s">
        <v>306</v>
      </c>
      <c r="D18" s="8" t="s">
        <v>307</v>
      </c>
      <c r="E18" s="19" t="s">
        <v>260</v>
      </c>
    </row>
    <row r="20" customFormat="false" ht="79.5" hidden="false" customHeight="true" outlineLevel="0" collapsed="false">
      <c r="A20" s="9" t="s">
        <v>308</v>
      </c>
      <c r="B20" s="9"/>
      <c r="C20" s="9"/>
      <c r="D20" s="9"/>
      <c r="E20" s="9"/>
    </row>
  </sheetData>
  <mergeCells count="2">
    <mergeCell ref="A1:E1"/>
    <mergeCell ref="A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3"/>
    <col collapsed="false" customWidth="true" hidden="false" outlineLevel="0" max="3" min="3" style="1" width="9"/>
    <col collapsed="false" customWidth="true" hidden="false" outlineLevel="0" max="5" min="4" style="1" width="11"/>
    <col collapsed="false" customWidth="true" hidden="false" outlineLevel="0" max="6" min="6" style="1" width="20"/>
    <col collapsed="false" customWidth="true" hidden="false" outlineLevel="0" max="7" min="7" style="1" width="11"/>
    <col collapsed="false" customWidth="true" hidden="false" outlineLevel="0" max="8" min="8" style="1" width="15"/>
    <col collapsed="false" customWidth="true" hidden="false" outlineLevel="0" max="9" min="9" style="1" width="40"/>
  </cols>
  <sheetData>
    <row r="1" customFormat="false" ht="26.25" hidden="false" customHeight="true" outlineLevel="0" collapsed="false">
      <c r="A1" s="2" t="s">
        <v>0</v>
      </c>
      <c r="B1" s="2" t="s">
        <v>309</v>
      </c>
      <c r="C1" s="2" t="s">
        <v>310</v>
      </c>
      <c r="D1" s="2" t="s">
        <v>311</v>
      </c>
      <c r="E1" s="2" t="s">
        <v>312</v>
      </c>
      <c r="F1" s="2" t="s">
        <v>313</v>
      </c>
      <c r="G1" s="2" t="s">
        <v>314</v>
      </c>
      <c r="H1" s="2" t="s">
        <v>315</v>
      </c>
      <c r="I1" s="2" t="s">
        <v>12</v>
      </c>
    </row>
    <row r="2" customFormat="false" ht="15" hidden="false" customHeight="true" outlineLevel="0" collapsed="false">
      <c r="A2" s="1" t="s">
        <v>27</v>
      </c>
      <c r="B2" s="1" t="n">
        <v>74</v>
      </c>
      <c r="C2" s="1" t="n">
        <f aca="false">B2/25</f>
        <v>2.96</v>
      </c>
      <c r="D2" s="1" t="n">
        <v>881</v>
      </c>
      <c r="E2" s="1" t="n">
        <v>322</v>
      </c>
      <c r="F2" s="1" t="s">
        <v>316</v>
      </c>
      <c r="G2" s="1" t="s">
        <v>317</v>
      </c>
      <c r="H2" s="1" t="s">
        <v>318</v>
      </c>
      <c r="I2" s="1" t="s">
        <v>319</v>
      </c>
    </row>
    <row r="3" customFormat="false" ht="15" hidden="false" customHeight="true" outlineLevel="0" collapsed="false">
      <c r="A3" s="1" t="s">
        <v>27</v>
      </c>
      <c r="B3" s="1" t="n">
        <v>75</v>
      </c>
      <c r="C3" s="1" t="n">
        <f aca="false">B3/25</f>
        <v>3</v>
      </c>
      <c r="D3" s="1" t="n">
        <v>887.1</v>
      </c>
      <c r="E3" s="1" t="n">
        <v>333.8</v>
      </c>
      <c r="F3" s="1" t="s">
        <v>316</v>
      </c>
      <c r="G3" s="1" t="s">
        <v>317</v>
      </c>
      <c r="H3" s="1" t="s">
        <v>318</v>
      </c>
    </row>
    <row r="4" customFormat="false" ht="15" hidden="false" customHeight="true" outlineLevel="0" collapsed="false">
      <c r="A4" s="1" t="s">
        <v>27</v>
      </c>
      <c r="B4" s="1" t="n">
        <v>76</v>
      </c>
      <c r="C4" s="1" t="n">
        <f aca="false">B4/25</f>
        <v>3.04</v>
      </c>
      <c r="D4" s="1" t="n">
        <v>893.3</v>
      </c>
      <c r="E4" s="1" t="n">
        <v>351.1</v>
      </c>
      <c r="F4" s="1" t="s">
        <v>316</v>
      </c>
      <c r="G4" s="1" t="s">
        <v>317</v>
      </c>
      <c r="H4" s="1" t="s">
        <v>318</v>
      </c>
    </row>
    <row r="5" customFormat="false" ht="15" hidden="false" customHeight="true" outlineLevel="0" collapsed="false">
      <c r="A5" s="1" t="s">
        <v>27</v>
      </c>
      <c r="B5" s="1" t="n">
        <v>77</v>
      </c>
      <c r="C5" s="1" t="n">
        <f aca="false">B5/25</f>
        <v>3.08</v>
      </c>
      <c r="D5" s="1" t="n">
        <v>898.7</v>
      </c>
      <c r="E5" s="1" t="n">
        <v>372.7</v>
      </c>
      <c r="F5" s="1" t="s">
        <v>316</v>
      </c>
      <c r="G5" s="1" t="s">
        <v>317</v>
      </c>
      <c r="H5" s="1" t="s">
        <v>318</v>
      </c>
    </row>
    <row r="6" customFormat="false" ht="15" hidden="false" customHeight="true" outlineLevel="0" collapsed="false">
      <c r="A6" s="1" t="s">
        <v>27</v>
      </c>
      <c r="B6" s="1" t="n">
        <v>78</v>
      </c>
      <c r="C6" s="1" t="n">
        <f aca="false">B6/25</f>
        <v>3.12</v>
      </c>
      <c r="D6" s="1" t="n">
        <v>903.9</v>
      </c>
      <c r="E6" s="1" t="n">
        <v>397.3</v>
      </c>
      <c r="F6" s="1" t="s">
        <v>316</v>
      </c>
      <c r="G6" s="1" t="s">
        <v>317</v>
      </c>
      <c r="H6" s="1" t="s">
        <v>318</v>
      </c>
    </row>
    <row r="7" customFormat="false" ht="15" hidden="false" customHeight="true" outlineLevel="0" collapsed="false">
      <c r="A7" s="1" t="s">
        <v>27</v>
      </c>
      <c r="B7" s="1" t="n">
        <v>79</v>
      </c>
      <c r="C7" s="1" t="n">
        <f aca="false">B7/25</f>
        <v>3.16</v>
      </c>
      <c r="D7" s="1" t="n">
        <v>909.4</v>
      </c>
      <c r="E7" s="1" t="n">
        <v>423.7</v>
      </c>
      <c r="F7" s="1" t="s">
        <v>316</v>
      </c>
      <c r="G7" s="1" t="s">
        <v>317</v>
      </c>
      <c r="H7" s="1" t="s">
        <v>318</v>
      </c>
    </row>
    <row r="8" customFormat="false" ht="15" hidden="false" customHeight="true" outlineLevel="0" collapsed="false">
      <c r="A8" s="1" t="s">
        <v>27</v>
      </c>
      <c r="B8" s="1" t="n">
        <v>80</v>
      </c>
      <c r="C8" s="1" t="n">
        <f aca="false">B8/25</f>
        <v>3.2</v>
      </c>
      <c r="D8" s="1" t="n">
        <v>914.9</v>
      </c>
      <c r="E8" s="1" t="n">
        <v>452.4</v>
      </c>
      <c r="F8" s="1" t="s">
        <v>316</v>
      </c>
      <c r="G8" s="1" t="s">
        <v>317</v>
      </c>
      <c r="H8" s="1" t="s">
        <v>318</v>
      </c>
    </row>
    <row r="9" customFormat="false" ht="15" hidden="false" customHeight="true" outlineLevel="0" collapsed="false">
      <c r="A9" s="1" t="s">
        <v>27</v>
      </c>
      <c r="B9" s="1" t="n">
        <v>81</v>
      </c>
      <c r="C9" s="1" t="n">
        <f aca="false">B9/25</f>
        <v>3.24</v>
      </c>
      <c r="D9" s="1" t="n">
        <v>920.7</v>
      </c>
      <c r="E9" s="1" t="n">
        <v>481.7</v>
      </c>
      <c r="F9" s="1" t="s">
        <v>316</v>
      </c>
      <c r="G9" s="1" t="s">
        <v>317</v>
      </c>
      <c r="H9" s="1" t="s">
        <v>318</v>
      </c>
    </row>
    <row r="10" customFormat="false" ht="15" hidden="false" customHeight="true" outlineLevel="0" collapsed="false">
      <c r="A10" s="1" t="s">
        <v>27</v>
      </c>
      <c r="B10" s="1" t="n">
        <v>82</v>
      </c>
      <c r="C10" s="1" t="n">
        <f aca="false">B10/25</f>
        <v>3.28</v>
      </c>
      <c r="D10" s="1" t="n">
        <v>926.6</v>
      </c>
      <c r="E10" s="1" t="n">
        <v>512.5</v>
      </c>
      <c r="F10" s="1" t="s">
        <v>316</v>
      </c>
      <c r="G10" s="1" t="s">
        <v>317</v>
      </c>
      <c r="H10" s="1" t="s">
        <v>318</v>
      </c>
    </row>
    <row r="11" customFormat="false" ht="15" hidden="false" customHeight="true" outlineLevel="0" collapsed="false">
      <c r="A11" s="1" t="s">
        <v>27</v>
      </c>
      <c r="B11" s="1" t="n">
        <v>83</v>
      </c>
      <c r="C11" s="1" t="n">
        <f aca="false">B11/25</f>
        <v>3.32</v>
      </c>
      <c r="D11" s="1" t="n">
        <v>933.4</v>
      </c>
      <c r="E11" s="1" t="n">
        <v>546</v>
      </c>
      <c r="F11" s="1" t="s">
        <v>316</v>
      </c>
      <c r="G11" s="1" t="s">
        <v>317</v>
      </c>
      <c r="H11" s="1" t="s">
        <v>318</v>
      </c>
    </row>
    <row r="12" customFormat="false" ht="15" hidden="false" customHeight="true" outlineLevel="0" collapsed="false">
      <c r="A12" s="1" t="s">
        <v>27</v>
      </c>
      <c r="B12" s="1" t="n">
        <v>84</v>
      </c>
      <c r="C12" s="1" t="n">
        <f aca="false">B12/25</f>
        <v>3.36</v>
      </c>
      <c r="D12" s="1" t="n">
        <v>939.7</v>
      </c>
      <c r="E12" s="1" t="n">
        <v>580.5</v>
      </c>
      <c r="F12" s="1" t="s">
        <v>316</v>
      </c>
      <c r="G12" s="1" t="s">
        <v>317</v>
      </c>
      <c r="H12" s="1" t="s">
        <v>318</v>
      </c>
      <c r="I12" s="1" t="s">
        <v>320</v>
      </c>
    </row>
    <row r="13" customFormat="false" ht="15" hidden="false" customHeight="true" outlineLevel="0" collapsed="false">
      <c r="A13" s="1" t="s">
        <v>27</v>
      </c>
      <c r="B13" s="1" t="n">
        <v>85</v>
      </c>
      <c r="C13" s="1" t="n">
        <f aca="false">B13/25</f>
        <v>3.4</v>
      </c>
      <c r="D13" s="1" t="n">
        <v>945.4</v>
      </c>
      <c r="E13" s="1" t="n">
        <v>543.2</v>
      </c>
      <c r="F13" s="1" t="s">
        <v>316</v>
      </c>
      <c r="G13" s="1" t="s">
        <v>317</v>
      </c>
      <c r="H13" s="1" t="s">
        <v>318</v>
      </c>
    </row>
    <row r="14" customFormat="false" ht="15" hidden="false" customHeight="true" outlineLevel="0" collapsed="false">
      <c r="A14" s="1" t="s">
        <v>27</v>
      </c>
      <c r="B14" s="1" t="n">
        <v>87</v>
      </c>
      <c r="C14" s="1" t="n">
        <f aca="false">B14/25</f>
        <v>3.48</v>
      </c>
      <c r="D14" s="1" t="n">
        <v>957.5</v>
      </c>
      <c r="E14" s="1" t="n">
        <v>475.5</v>
      </c>
      <c r="F14" s="1" t="s">
        <v>316</v>
      </c>
      <c r="G14" s="1" t="s">
        <v>317</v>
      </c>
      <c r="H14" s="1" t="s">
        <v>318</v>
      </c>
    </row>
    <row r="15" customFormat="false" ht="15" hidden="false" customHeight="true" outlineLevel="0" collapsed="false">
      <c r="A15" s="1" t="s">
        <v>27</v>
      </c>
      <c r="B15" s="1" t="n">
        <v>88</v>
      </c>
      <c r="C15" s="1" t="n">
        <f aca="false">B15/25</f>
        <v>3.52</v>
      </c>
      <c r="D15" s="1" t="n">
        <v>962.5</v>
      </c>
      <c r="E15" s="1" t="n">
        <v>447.4</v>
      </c>
      <c r="F15" s="1" t="s">
        <v>316</v>
      </c>
      <c r="G15" s="1" t="s">
        <v>317</v>
      </c>
      <c r="H15" s="1" t="s">
        <v>318</v>
      </c>
    </row>
    <row r="16" customFormat="false" ht="15" hidden="false" customHeight="true" outlineLevel="0" collapsed="false">
      <c r="A16" s="1" t="s">
        <v>27</v>
      </c>
      <c r="B16" s="1" t="n">
        <v>89</v>
      </c>
      <c r="C16" s="1" t="n">
        <f aca="false">B16/25</f>
        <v>3.56</v>
      </c>
      <c r="D16" s="1" t="n">
        <v>966.3</v>
      </c>
      <c r="E16" s="1" t="n">
        <v>424.2</v>
      </c>
      <c r="F16" s="1" t="s">
        <v>316</v>
      </c>
      <c r="G16" s="1" t="s">
        <v>317</v>
      </c>
      <c r="H16" s="1" t="s">
        <v>318</v>
      </c>
    </row>
    <row r="17" customFormat="false" ht="15" hidden="false" customHeight="true" outlineLevel="0" collapsed="false">
      <c r="A17" s="1" t="s">
        <v>27</v>
      </c>
      <c r="B17" s="1" t="n">
        <v>90</v>
      </c>
      <c r="C17" s="1" t="n">
        <f aca="false">B17/25</f>
        <v>3.6</v>
      </c>
      <c r="D17" s="1" t="n">
        <v>970.4</v>
      </c>
      <c r="E17" s="1" t="n">
        <v>401.7</v>
      </c>
      <c r="F17" s="1" t="s">
        <v>316</v>
      </c>
      <c r="G17" s="1" t="s">
        <v>317</v>
      </c>
      <c r="H17" s="1" t="s">
        <v>318</v>
      </c>
      <c r="I17" s="1" t="s">
        <v>321</v>
      </c>
    </row>
    <row r="18" customFormat="false" ht="15" hidden="false" customHeight="true" outlineLevel="0" collapsed="false">
      <c r="A18" s="1" t="s">
        <v>27</v>
      </c>
      <c r="B18" s="1" t="n">
        <v>91</v>
      </c>
      <c r="C18" s="1" t="n">
        <f aca="false">B18/25</f>
        <v>3.64</v>
      </c>
      <c r="D18" s="1" t="n">
        <v>976</v>
      </c>
      <c r="E18" s="1" t="n">
        <v>382</v>
      </c>
      <c r="F18" s="1" t="s">
        <v>316</v>
      </c>
      <c r="G18" s="1" t="s">
        <v>317</v>
      </c>
      <c r="H18" s="1" t="s">
        <v>318</v>
      </c>
      <c r="I18" s="1" t="s">
        <v>321</v>
      </c>
    </row>
    <row r="20" customFormat="false" ht="15" hidden="false" customHeight="true" outlineLevel="0" collapsed="false">
      <c r="A20" s="1" t="s">
        <v>322</v>
      </c>
    </row>
    <row r="21" customFormat="false" ht="15" hidden="false" customHeight="true" outlineLevel="0" collapsed="false">
      <c r="A21" s="1" t="s">
        <v>323</v>
      </c>
    </row>
    <row r="22" customFormat="false" ht="15" hidden="false" customHeight="true" outlineLevel="0" collapsed="false">
      <c r="A22" s="1" t="s">
        <v>324</v>
      </c>
    </row>
    <row r="23" customFormat="false" ht="15" hidden="false" customHeight="true" outlineLevel="0" collapsed="false">
      <c r="A23" s="3" t="s">
        <v>24</v>
      </c>
      <c r="B23" s="3" t="n">
        <v>93</v>
      </c>
      <c r="C23" s="3" t="n">
        <f aca="false">B23/25</f>
        <v>3.72</v>
      </c>
      <c r="D23" s="3" t="n">
        <v>825</v>
      </c>
      <c r="E23" s="3" t="n">
        <v>358</v>
      </c>
      <c r="F23" s="3" t="s">
        <v>325</v>
      </c>
      <c r="G23" s="3" t="s">
        <v>317</v>
      </c>
      <c r="H23" s="3" t="s">
        <v>318</v>
      </c>
      <c r="I23" s="3" t="s">
        <v>319</v>
      </c>
    </row>
    <row r="24" customFormat="false" ht="15" hidden="false" customHeight="true" outlineLevel="0" collapsed="false">
      <c r="A24" s="3" t="s">
        <v>24</v>
      </c>
      <c r="B24" s="3" t="n">
        <v>94</v>
      </c>
      <c r="C24" s="3" t="n">
        <f aca="false">B24/25</f>
        <v>3.76</v>
      </c>
      <c r="D24" s="3" t="n">
        <v>830</v>
      </c>
      <c r="E24" s="3" t="n">
        <v>368</v>
      </c>
      <c r="F24" s="3" t="s">
        <v>325</v>
      </c>
      <c r="G24" s="3" t="s">
        <v>317</v>
      </c>
      <c r="H24" s="3" t="s">
        <v>318</v>
      </c>
      <c r="I24" s="3"/>
    </row>
    <row r="25" customFormat="false" ht="15" hidden="false" customHeight="true" outlineLevel="0" collapsed="false">
      <c r="A25" s="3" t="s">
        <v>24</v>
      </c>
      <c r="B25" s="3" t="n">
        <v>95</v>
      </c>
      <c r="C25" s="3" t="n">
        <f aca="false">B25/25</f>
        <v>3.8</v>
      </c>
      <c r="D25" s="3" t="n">
        <v>828</v>
      </c>
      <c r="E25" s="3" t="n">
        <v>397</v>
      </c>
      <c r="F25" s="3" t="s">
        <v>325</v>
      </c>
      <c r="G25" s="3" t="s">
        <v>317</v>
      </c>
      <c r="H25" s="3" t="s">
        <v>318</v>
      </c>
      <c r="I25" s="3"/>
    </row>
    <row r="26" customFormat="false" ht="15" hidden="false" customHeight="true" outlineLevel="0" collapsed="false">
      <c r="A26" s="3" t="s">
        <v>24</v>
      </c>
      <c r="B26" s="3" t="n">
        <v>96</v>
      </c>
      <c r="C26" s="3" t="n">
        <f aca="false">B26/25</f>
        <v>3.84</v>
      </c>
      <c r="D26" s="3" t="n">
        <v>830</v>
      </c>
      <c r="E26" s="3" t="n">
        <v>415</v>
      </c>
      <c r="F26" s="3" t="s">
        <v>325</v>
      </c>
      <c r="G26" s="3" t="s">
        <v>317</v>
      </c>
      <c r="H26" s="3" t="s">
        <v>318</v>
      </c>
      <c r="I26" s="3"/>
    </row>
    <row r="27" customFormat="false" ht="15" hidden="false" customHeight="true" outlineLevel="0" collapsed="false">
      <c r="A27" s="3" t="s">
        <v>24</v>
      </c>
      <c r="B27" s="3" t="n">
        <v>97</v>
      </c>
      <c r="C27" s="3" t="n">
        <f aca="false">B27/25</f>
        <v>3.88</v>
      </c>
      <c r="D27" s="3" t="n">
        <v>830</v>
      </c>
      <c r="E27" s="3" t="n">
        <v>442</v>
      </c>
      <c r="F27" s="3" t="s">
        <v>325</v>
      </c>
      <c r="G27" s="3" t="s">
        <v>317</v>
      </c>
      <c r="H27" s="3" t="s">
        <v>318</v>
      </c>
      <c r="I27" s="3"/>
    </row>
    <row r="28" customFormat="false" ht="15" hidden="false" customHeight="true" outlineLevel="0" collapsed="false">
      <c r="A28" s="3" t="s">
        <v>24</v>
      </c>
      <c r="B28" s="3" t="n">
        <v>98</v>
      </c>
      <c r="C28" s="3" t="n">
        <f aca="false">B28/25</f>
        <v>3.92</v>
      </c>
      <c r="D28" s="3" t="n">
        <v>833</v>
      </c>
      <c r="E28" s="3" t="n">
        <v>470</v>
      </c>
      <c r="F28" s="3" t="s">
        <v>325</v>
      </c>
      <c r="G28" s="3" t="s">
        <v>317</v>
      </c>
      <c r="H28" s="3" t="s">
        <v>318</v>
      </c>
      <c r="I28" s="3"/>
    </row>
    <row r="29" customFormat="false" ht="15" hidden="false" customHeight="true" outlineLevel="0" collapsed="false">
      <c r="A29" s="3" t="s">
        <v>24</v>
      </c>
      <c r="B29" s="3" t="n">
        <v>99</v>
      </c>
      <c r="C29" s="3" t="n">
        <f aca="false">B29/25</f>
        <v>3.96</v>
      </c>
      <c r="D29" s="3" t="n">
        <v>838</v>
      </c>
      <c r="E29" s="3" t="n">
        <v>508</v>
      </c>
      <c r="F29" s="3" t="s">
        <v>325</v>
      </c>
      <c r="G29" s="3" t="s">
        <v>317</v>
      </c>
      <c r="H29" s="3" t="s">
        <v>318</v>
      </c>
      <c r="I29" s="3"/>
    </row>
    <row r="30" customFormat="false" ht="15" hidden="false" customHeight="true" outlineLevel="0" collapsed="false">
      <c r="A30" s="3" t="s">
        <v>24</v>
      </c>
      <c r="B30" s="3" t="n">
        <v>100</v>
      </c>
      <c r="C30" s="3" t="n">
        <f aca="false">B30/25</f>
        <v>4</v>
      </c>
      <c r="D30" s="3" t="n">
        <v>838</v>
      </c>
      <c r="E30" s="3" t="n">
        <v>553</v>
      </c>
      <c r="F30" s="3" t="s">
        <v>325</v>
      </c>
      <c r="G30" s="3" t="s">
        <v>317</v>
      </c>
      <c r="H30" s="3" t="s">
        <v>318</v>
      </c>
      <c r="I30" s="3"/>
    </row>
    <row r="31" customFormat="false" ht="15" hidden="false" customHeight="true" outlineLevel="0" collapsed="false">
      <c r="A31" s="3" t="s">
        <v>24</v>
      </c>
      <c r="B31" s="3" t="n">
        <v>101</v>
      </c>
      <c r="C31" s="3" t="n">
        <f aca="false">B31/25</f>
        <v>4.04</v>
      </c>
      <c r="D31" s="3" t="n">
        <v>838</v>
      </c>
      <c r="E31" s="3" t="n">
        <v>597</v>
      </c>
      <c r="F31" s="3" t="s">
        <v>325</v>
      </c>
      <c r="G31" s="3" t="s">
        <v>317</v>
      </c>
      <c r="H31" s="3" t="s">
        <v>318</v>
      </c>
      <c r="I31" s="3"/>
    </row>
    <row r="32" customFormat="false" ht="15" hidden="false" customHeight="true" outlineLevel="0" collapsed="false">
      <c r="A32" s="3" t="s">
        <v>24</v>
      </c>
      <c r="B32" s="3" t="n">
        <v>102</v>
      </c>
      <c r="C32" s="3" t="n">
        <f aca="false">B32/25</f>
        <v>4.08</v>
      </c>
      <c r="D32" s="3" t="n">
        <v>843</v>
      </c>
      <c r="E32" s="3" t="n">
        <v>630</v>
      </c>
      <c r="F32" s="3" t="s">
        <v>325</v>
      </c>
      <c r="G32" s="3" t="s">
        <v>317</v>
      </c>
      <c r="H32" s="3" t="s">
        <v>318</v>
      </c>
      <c r="I32" s="3"/>
    </row>
    <row r="33" customFormat="false" ht="15" hidden="false" customHeight="true" outlineLevel="0" collapsed="false">
      <c r="A33" s="3" t="s">
        <v>24</v>
      </c>
      <c r="B33" s="3" t="n">
        <v>103</v>
      </c>
      <c r="C33" s="3" t="n">
        <f aca="false">B33/25</f>
        <v>4.12</v>
      </c>
      <c r="D33" s="3" t="n">
        <v>848</v>
      </c>
      <c r="E33" s="3" t="n">
        <v>682</v>
      </c>
      <c r="F33" s="3" t="s">
        <v>325</v>
      </c>
      <c r="G33" s="3" t="s">
        <v>317</v>
      </c>
      <c r="H33" s="3" t="s">
        <v>318</v>
      </c>
      <c r="I33" s="3"/>
    </row>
    <row r="34" customFormat="false" ht="15" hidden="false" customHeight="true" outlineLevel="0" collapsed="false">
      <c r="A34" s="3" t="s">
        <v>24</v>
      </c>
      <c r="B34" s="3" t="n">
        <v>104</v>
      </c>
      <c r="C34" s="3" t="n">
        <f aca="false">B34/25</f>
        <v>4.16</v>
      </c>
      <c r="D34" s="3" t="n">
        <v>838</v>
      </c>
      <c r="E34" s="3" t="n">
        <v>730</v>
      </c>
      <c r="F34" s="3" t="s">
        <v>325</v>
      </c>
      <c r="G34" s="3" t="s">
        <v>317</v>
      </c>
      <c r="H34" s="3" t="s">
        <v>318</v>
      </c>
      <c r="I34" s="3" t="s">
        <v>326</v>
      </c>
    </row>
    <row r="35" customFormat="false" ht="15" hidden="false" customHeight="true" outlineLevel="0" collapsed="false">
      <c r="A35" s="3" t="s">
        <v>24</v>
      </c>
      <c r="B35" s="3" t="n">
        <v>105</v>
      </c>
      <c r="C35" s="3" t="n">
        <f aca="false">B35/25</f>
        <v>4.2</v>
      </c>
      <c r="D35" s="3" t="n">
        <v>848</v>
      </c>
      <c r="E35" s="3" t="n">
        <v>693</v>
      </c>
      <c r="F35" s="3" t="s">
        <v>325</v>
      </c>
      <c r="G35" s="3" t="s">
        <v>317</v>
      </c>
      <c r="H35" s="3" t="s">
        <v>318</v>
      </c>
      <c r="I35" s="3" t="s">
        <v>327</v>
      </c>
    </row>
    <row r="36" customFormat="false" ht="15" hidden="false" customHeight="true" outlineLevel="0" collapsed="false">
      <c r="A36" s="3" t="s">
        <v>24</v>
      </c>
      <c r="B36" s="3" t="n">
        <v>106</v>
      </c>
      <c r="C36" s="3" t="n">
        <f aca="false">B36/25</f>
        <v>4.24</v>
      </c>
      <c r="D36" s="3"/>
      <c r="E36" s="3"/>
      <c r="F36" s="3"/>
      <c r="G36" s="3"/>
      <c r="H36" s="3" t="s">
        <v>328</v>
      </c>
      <c r="I36" s="3" t="s">
        <v>329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9" min="1" style="1" width="14"/>
  </cols>
  <sheetData>
    <row r="1" customFormat="false" ht="39" hidden="false" customHeight="true" outlineLevel="0" collapsed="false">
      <c r="A1" s="2" t="s">
        <v>0</v>
      </c>
      <c r="B1" s="2" t="s">
        <v>330</v>
      </c>
      <c r="C1" s="2" t="s">
        <v>331</v>
      </c>
      <c r="D1" s="2" t="s">
        <v>332</v>
      </c>
      <c r="E1" s="2" t="s">
        <v>333</v>
      </c>
      <c r="F1" s="2" t="s">
        <v>334</v>
      </c>
      <c r="G1" s="2" t="s">
        <v>335</v>
      </c>
      <c r="H1" s="2" t="s">
        <v>336</v>
      </c>
      <c r="I1" s="2" t="s">
        <v>337</v>
      </c>
      <c r="J1" s="2" t="s">
        <v>338</v>
      </c>
      <c r="K1" s="2" t="s">
        <v>339</v>
      </c>
      <c r="L1" s="2" t="s">
        <v>340</v>
      </c>
      <c r="M1" s="2" t="s">
        <v>341</v>
      </c>
      <c r="N1" s="2" t="s">
        <v>342</v>
      </c>
      <c r="O1" s="2" t="s">
        <v>343</v>
      </c>
      <c r="P1" s="2" t="s">
        <v>344</v>
      </c>
      <c r="Q1" s="2" t="s">
        <v>345</v>
      </c>
      <c r="R1" s="2" t="s">
        <v>346</v>
      </c>
      <c r="S1" s="2" t="s">
        <v>347</v>
      </c>
      <c r="T1" s="2" t="s">
        <v>348</v>
      </c>
      <c r="U1" s="2" t="s">
        <v>349</v>
      </c>
      <c r="V1" s="2" t="s">
        <v>350</v>
      </c>
      <c r="W1" s="2" t="s">
        <v>351</v>
      </c>
      <c r="X1" s="2" t="s">
        <v>352</v>
      </c>
      <c r="Y1" s="2" t="s">
        <v>353</v>
      </c>
      <c r="Z1" s="2" t="s">
        <v>354</v>
      </c>
      <c r="AA1" s="2" t="s">
        <v>355</v>
      </c>
      <c r="AB1" s="2" t="s">
        <v>356</v>
      </c>
      <c r="AC1" s="2" t="s">
        <v>357</v>
      </c>
    </row>
    <row r="2" customFormat="false" ht="15" hidden="false" customHeight="true" outlineLevel="0" collapsed="false">
      <c r="A2" s="1" t="s">
        <v>13</v>
      </c>
      <c r="Q2" s="1" t="n">
        <f aca="false">Ground_Truth!C2</f>
        <v>138.58</v>
      </c>
      <c r="R2" s="1" t="n">
        <f aca="false">Ground_Truth!F2</f>
        <v>8.177</v>
      </c>
      <c r="S2" s="1" t="n">
        <f aca="false">Ground_Truth!L2</f>
        <v>-0.074</v>
      </c>
      <c r="T2" s="1" t="n">
        <f aca="false">Ground_Truth!O2</f>
        <v>-0.09</v>
      </c>
      <c r="U2" s="1" t="n">
        <f aca="false">Ground_Truth!N2</f>
        <v>0.33</v>
      </c>
      <c r="V2" s="1" t="n">
        <f aca="false">Ground_Truth!M2</f>
        <v>0.964</v>
      </c>
      <c r="W2" s="1" t="str">
        <f aca="false">IF(OR(B2="",Q2=""),"",ABS(B2-Q2))</f>
        <v/>
      </c>
      <c r="X2" s="1" t="str">
        <f aca="false">IF(OR(E2="",R2=""),"",ABS(E2-R2))</f>
        <v/>
      </c>
      <c r="Y2" s="1" t="str">
        <f aca="false">IF(OR(K2="",S2=""),"",ABS(K2-S2))</f>
        <v/>
      </c>
      <c r="Z2" s="1" t="str">
        <f aca="false">IF(OR(N2="",T2=""),"",ABS(N2-T2))</f>
        <v/>
      </c>
      <c r="AA2" s="1" t="str">
        <f aca="false">IF(OR(M2="",U2=""),"",ABS(M2-U2))</f>
        <v/>
      </c>
      <c r="AB2" s="1" t="str">
        <f aca="false">IF(OR(L2="",V2=""),"",ABS(L2-V2))</f>
        <v/>
      </c>
    </row>
    <row r="3" customFormat="false" ht="15" hidden="false" customHeight="true" outlineLevel="0" collapsed="false">
      <c r="A3" s="1" t="s">
        <v>18</v>
      </c>
      <c r="Q3" s="1" t="n">
        <f aca="false">Ground_Truth!C3</f>
        <v>127.96</v>
      </c>
      <c r="R3" s="1" t="n">
        <f aca="false">Ground_Truth!F3</f>
        <v>13.284</v>
      </c>
      <c r="S3" s="1" t="n">
        <f aca="false">Ground_Truth!L3</f>
        <v>-0.554</v>
      </c>
      <c r="T3" s="1" t="n">
        <f aca="false">Ground_Truth!O3</f>
        <v>1.06</v>
      </c>
      <c r="U3" s="1" t="n">
        <f aca="false">Ground_Truth!N3</f>
        <v>-0.62</v>
      </c>
      <c r="V3" s="1" t="n">
        <f aca="false">Ground_Truth!M3</f>
        <v>2.046</v>
      </c>
      <c r="W3" s="1" t="str">
        <f aca="false">IF(OR(B3="",Q3=""),"",ABS(B3-Q3))</f>
        <v/>
      </c>
      <c r="X3" s="1" t="str">
        <f aca="false">IF(OR(E3="",R3=""),"",ABS(E3-R3))</f>
        <v/>
      </c>
      <c r="Y3" s="1" t="str">
        <f aca="false">IF(OR(K3="",S3=""),"",ABS(K3-S3))</f>
        <v/>
      </c>
      <c r="Z3" s="1" t="str">
        <f aca="false">IF(OR(N3="",T3=""),"",ABS(N3-T3))</f>
        <v/>
      </c>
      <c r="AA3" s="1" t="str">
        <f aca="false">IF(OR(M3="",U3=""),"",ABS(M3-U3))</f>
        <v/>
      </c>
      <c r="AB3" s="1" t="str">
        <f aca="false">IF(OR(L3="",V3=""),"",ABS(L3-V3))</f>
        <v/>
      </c>
    </row>
    <row r="4" customFormat="false" ht="15" hidden="false" customHeight="true" outlineLevel="0" collapsed="false">
      <c r="A4" s="1" t="s">
        <v>22</v>
      </c>
      <c r="Q4" s="1" t="n">
        <f aca="false">Ground_Truth!C4</f>
        <v>114.18</v>
      </c>
      <c r="R4" s="1" t="n">
        <f aca="false">Ground_Truth!F4</f>
        <v>5.286</v>
      </c>
      <c r="S4" s="1" t="n">
        <f aca="false">Ground_Truth!L4</f>
        <v>0.059</v>
      </c>
      <c r="T4" s="1" t="n">
        <f aca="false">Ground_Truth!O4</f>
        <v>1.51</v>
      </c>
      <c r="U4" s="1" t="n">
        <f aca="false">Ground_Truth!N4</f>
        <v>-1.01</v>
      </c>
      <c r="V4" s="1" t="n">
        <f aca="false">Ground_Truth!M4</f>
        <v>0.64</v>
      </c>
      <c r="W4" s="1" t="str">
        <f aca="false">IF(OR(B4="",Q4=""),"",ABS(B4-Q4))</f>
        <v/>
      </c>
      <c r="X4" s="1" t="str">
        <f aca="false">IF(OR(E4="",R4=""),"",ABS(E4-R4))</f>
        <v/>
      </c>
      <c r="Y4" s="1" t="str">
        <f aca="false">IF(OR(K4="",S4=""),"",ABS(K4-S4))</f>
        <v/>
      </c>
      <c r="Z4" s="1" t="str">
        <f aca="false">IF(OR(N4="",T4=""),"",ABS(N4-T4))</f>
        <v/>
      </c>
      <c r="AA4" s="1" t="str">
        <f aca="false">IF(OR(M4="",U4=""),"",ABS(M4-U4))</f>
        <v/>
      </c>
      <c r="AB4" s="1" t="str">
        <f aca="false">IF(OR(L4="",V4=""),"",ABS(L4-V4))</f>
        <v/>
      </c>
    </row>
    <row r="5" customFormat="false" ht="15" hidden="false" customHeight="true" outlineLevel="0" collapsed="false">
      <c r="A5" s="1" t="s">
        <v>24</v>
      </c>
      <c r="B5" s="1" t="n">
        <v>129.3</v>
      </c>
      <c r="I5" s="1" t="n">
        <v>0.136</v>
      </c>
      <c r="Q5" s="1" t="n">
        <f aca="false">Ground_Truth!C5</f>
        <v>136.69</v>
      </c>
      <c r="R5" s="1" t="n">
        <f aca="false">Ground_Truth!F5</f>
        <v>2.258</v>
      </c>
      <c r="S5" s="1" t="n">
        <f aca="false">Ground_Truth!L5</f>
        <v>-0.32</v>
      </c>
      <c r="T5" s="1" t="n">
        <f aca="false">Ground_Truth!O5</f>
        <v>0.45</v>
      </c>
      <c r="U5" s="1" t="n">
        <f aca="false">Ground_Truth!N5</f>
        <v>-0.16</v>
      </c>
      <c r="V5" s="1" t="n">
        <f aca="false">Ground_Truth!M5</f>
        <v>0.265</v>
      </c>
      <c r="W5" s="1" t="n">
        <f aca="false">IF(OR(B5="",Q5=""),"",ABS(B5-Q5))</f>
        <v>7.38999999999999</v>
      </c>
      <c r="X5" s="1" t="str">
        <f aca="false">IF(OR(E5="",R5=""),"",ABS(E5-R5))</f>
        <v/>
      </c>
      <c r="Y5" s="1" t="str">
        <f aca="false">IF(OR(K5="",S5=""),"",ABS(K5-S5))</f>
        <v/>
      </c>
      <c r="Z5" s="1" t="str">
        <f aca="false">IF(OR(N5="",T5=""),"",ABS(N5-T5))</f>
        <v/>
      </c>
      <c r="AA5" s="1" t="str">
        <f aca="false">IF(OR(M5="",U5=""),"",ABS(M5-U5))</f>
        <v/>
      </c>
      <c r="AB5" s="1" t="str">
        <f aca="false">IF(OR(L5="",V5=""),"",ABS(L5-V5))</f>
        <v/>
      </c>
    </row>
    <row r="6" customFormat="false" ht="15" hidden="false" customHeight="true" outlineLevel="0" collapsed="false">
      <c r="A6" s="1" t="s">
        <v>27</v>
      </c>
      <c r="F6" s="1" t="n">
        <v>-0.308</v>
      </c>
      <c r="K6" s="1" t="n">
        <v>-0.276</v>
      </c>
      <c r="L6" s="1" t="n">
        <v>0.358</v>
      </c>
      <c r="Q6" s="1" t="n">
        <f aca="false">Ground_Truth!C6</f>
        <v>138.82</v>
      </c>
      <c r="R6" s="1" t="n">
        <f aca="false">Ground_Truth!F6</f>
        <v>3.142</v>
      </c>
      <c r="S6" s="1" t="n">
        <f aca="false">Ground_Truth!L6</f>
        <v>-0.279</v>
      </c>
      <c r="T6" s="1" t="n">
        <f aca="false">Ground_Truth!O6</f>
        <v>0.04</v>
      </c>
      <c r="U6" s="1" t="n">
        <f aca="false">Ground_Truth!N6</f>
        <v>0</v>
      </c>
      <c r="V6" s="1" t="n">
        <f aca="false">Ground_Truth!M6</f>
        <v>0.292</v>
      </c>
      <c r="W6" s="1" t="str">
        <f aca="false">IF(OR(B6="",Q6=""),"",ABS(B6-Q6))</f>
        <v/>
      </c>
      <c r="X6" s="1" t="str">
        <f aca="false">IF(OR(E6="",R6=""),"",ABS(E6-R6))</f>
        <v/>
      </c>
      <c r="Y6" s="1" t="n">
        <f aca="false">IF(OR(K6="",S6=""),"",ABS(K6-S6))</f>
        <v>0.003</v>
      </c>
      <c r="Z6" s="1" t="str">
        <f aca="false">IF(OR(N6="",T6=""),"",ABS(N6-T6))</f>
        <v/>
      </c>
      <c r="AA6" s="1" t="str">
        <f aca="false">IF(OR(M6="",U6=""),"",ABS(M6-U6))</f>
        <v/>
      </c>
      <c r="AB6" s="1" t="n">
        <f aca="false">IF(OR(L6="",V6=""),"",ABS(L6-V6))</f>
        <v>0.066</v>
      </c>
    </row>
    <row r="8" customFormat="false" ht="15" hidden="false" customHeight="true" outlineLevel="0" collapsed="false">
      <c r="A8" s="4" t="s">
        <v>358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10"/>
  </cols>
  <sheetData>
    <row r="1" customFormat="false" ht="15" hidden="false" customHeight="true" outlineLevel="0" collapsed="false">
      <c r="A1" s="20" t="s">
        <v>359</v>
      </c>
      <c r="B1" s="20" t="s">
        <v>65</v>
      </c>
    </row>
    <row r="2" customFormat="false" ht="26.25" hidden="false" customHeight="true" outlineLevel="0" collapsed="false">
      <c r="A2" s="3" t="s">
        <v>360</v>
      </c>
      <c r="B2" s="21" t="s">
        <v>361</v>
      </c>
    </row>
    <row r="3" customFormat="false" ht="26.25" hidden="false" customHeight="true" outlineLevel="0" collapsed="false">
      <c r="A3" s="3" t="s">
        <v>360</v>
      </c>
      <c r="B3" s="21" t="s">
        <v>362</v>
      </c>
    </row>
    <row r="4" customFormat="false" ht="26.25" hidden="false" customHeight="true" outlineLevel="0" collapsed="false">
      <c r="A4" s="3" t="s">
        <v>360</v>
      </c>
      <c r="B4" s="21" t="s">
        <v>363</v>
      </c>
    </row>
    <row r="5" customFormat="false" ht="26.25" hidden="false" customHeight="true" outlineLevel="0" collapsed="false">
      <c r="A5" s="3" t="s">
        <v>360</v>
      </c>
      <c r="B5" s="21" t="s">
        <v>364</v>
      </c>
    </row>
    <row r="6" customFormat="false" ht="26.25" hidden="false" customHeight="true" outlineLevel="0" collapsed="false">
      <c r="A6" s="3" t="s">
        <v>360</v>
      </c>
      <c r="B6" s="21" t="s">
        <v>365</v>
      </c>
    </row>
    <row r="7" customFormat="false" ht="26.25" hidden="false" customHeight="true" outlineLevel="0" collapsed="false">
      <c r="A7" s="3" t="s">
        <v>360</v>
      </c>
      <c r="B7" s="21" t="s">
        <v>366</v>
      </c>
    </row>
    <row r="8" customFormat="false" ht="26.25" hidden="false" customHeight="true" outlineLevel="0" collapsed="false">
      <c r="A8" s="3" t="s">
        <v>360</v>
      </c>
      <c r="B8" s="21" t="s">
        <v>367</v>
      </c>
    </row>
    <row r="9" customFormat="false" ht="15" hidden="false" customHeight="true" outlineLevel="0" collapsed="false">
      <c r="A9" s="1" t="s">
        <v>360</v>
      </c>
      <c r="B9" s="1" t="s">
        <v>368</v>
      </c>
    </row>
    <row r="10" customFormat="false" ht="15" hidden="false" customHeight="true" outlineLevel="0" collapsed="false">
      <c r="A10" s="1" t="s">
        <v>360</v>
      </c>
      <c r="B10" s="1" t="s">
        <v>369</v>
      </c>
    </row>
    <row r="11" customFormat="false" ht="15" hidden="false" customHeight="true" outlineLevel="0" collapsed="false">
      <c r="A11" s="1" t="s">
        <v>360</v>
      </c>
      <c r="B11" s="1" t="s">
        <v>370</v>
      </c>
    </row>
    <row r="12" customFormat="false" ht="15" hidden="false" customHeight="true" outlineLevel="0" collapsed="false">
      <c r="A12" s="1" t="s">
        <v>360</v>
      </c>
      <c r="B12" s="1" t="s">
        <v>371</v>
      </c>
    </row>
    <row r="13" customFormat="false" ht="15" hidden="false" customHeight="true" outlineLevel="0" collapsed="false">
      <c r="A13" s="1" t="s">
        <v>360</v>
      </c>
      <c r="B13" s="1" t="s">
        <v>372</v>
      </c>
    </row>
    <row r="14" customFormat="false" ht="15" hidden="false" customHeight="true" outlineLevel="0" collapsed="false">
      <c r="A14" s="1" t="s">
        <v>360</v>
      </c>
      <c r="B14" s="1" t="s">
        <v>373</v>
      </c>
    </row>
    <row r="15" customFormat="false" ht="39" hidden="false" customHeight="true" outlineLevel="0" collapsed="false">
      <c r="A15" s="3" t="s">
        <v>360</v>
      </c>
      <c r="B15" s="21" t="s">
        <v>374</v>
      </c>
    </row>
    <row r="16" customFormat="false" ht="39" hidden="false" customHeight="true" outlineLevel="0" collapsed="false">
      <c r="A16" s="3" t="s">
        <v>360</v>
      </c>
      <c r="B16" s="21" t="s">
        <v>375</v>
      </c>
    </row>
    <row r="17" customFormat="false" ht="26.25" hidden="false" customHeight="true" outlineLevel="0" collapsed="false">
      <c r="A17" s="3" t="s">
        <v>360</v>
      </c>
      <c r="B17" s="21" t="s">
        <v>376</v>
      </c>
    </row>
    <row r="18" customFormat="false" ht="90" hidden="false" customHeight="true" outlineLevel="0" collapsed="false">
      <c r="A18" s="3" t="s">
        <v>360</v>
      </c>
      <c r="B18" s="21" t="s">
        <v>377</v>
      </c>
    </row>
    <row r="19" customFormat="false" ht="90" hidden="false" customHeight="true" outlineLevel="0" collapsed="false">
      <c r="A19" s="3" t="s">
        <v>360</v>
      </c>
      <c r="B19" s="21" t="s">
        <v>378</v>
      </c>
    </row>
    <row r="20" customFormat="false" ht="90" hidden="false" customHeight="true" outlineLevel="0" collapsed="false">
      <c r="A20" s="3" t="s">
        <v>360</v>
      </c>
      <c r="B20" s="21" t="s">
        <v>379</v>
      </c>
    </row>
    <row r="21" customFormat="false" ht="77.25" hidden="false" customHeight="true" outlineLevel="0" collapsed="false">
      <c r="A21" s="3" t="s">
        <v>360</v>
      </c>
      <c r="B21" s="21" t="s">
        <v>380</v>
      </c>
    </row>
    <row r="22" customFormat="false" ht="51.75" hidden="false" customHeight="true" outlineLevel="0" collapsed="false">
      <c r="A22" s="3" t="s">
        <v>360</v>
      </c>
      <c r="B22" s="21" t="s">
        <v>381</v>
      </c>
    </row>
    <row r="23" customFormat="false" ht="77.25" hidden="false" customHeight="true" outlineLevel="0" collapsed="false">
      <c r="A23" s="3" t="s">
        <v>360</v>
      </c>
      <c r="B23" s="21" t="s">
        <v>382</v>
      </c>
    </row>
    <row r="24" customFormat="false" ht="39" hidden="false" customHeight="true" outlineLevel="0" collapsed="false">
      <c r="A24" s="3" t="s">
        <v>360</v>
      </c>
      <c r="B24" s="21" t="s">
        <v>383</v>
      </c>
    </row>
    <row r="25" customFormat="false" ht="51.75" hidden="false" customHeight="true" outlineLevel="0" collapsed="false">
      <c r="A25" s="3" t="s">
        <v>360</v>
      </c>
      <c r="B25" s="21" t="s">
        <v>384</v>
      </c>
    </row>
    <row r="26" customFormat="false" ht="77.25" hidden="false" customHeight="true" outlineLevel="0" collapsed="false">
      <c r="A26" s="3" t="s">
        <v>360</v>
      </c>
      <c r="B26" s="21" t="s">
        <v>385</v>
      </c>
    </row>
    <row r="27" customFormat="false" ht="77.25" hidden="false" customHeight="true" outlineLevel="0" collapsed="false">
      <c r="A27" s="3" t="s">
        <v>360</v>
      </c>
      <c r="B27" s="21" t="s">
        <v>386</v>
      </c>
    </row>
    <row r="28" customFormat="false" ht="64.5" hidden="false" customHeight="true" outlineLevel="0" collapsed="false">
      <c r="A28" s="3" t="s">
        <v>360</v>
      </c>
      <c r="B28" s="21" t="s">
        <v>387</v>
      </c>
    </row>
    <row r="29" customFormat="false" ht="51.75" hidden="false" customHeight="true" outlineLevel="0" collapsed="false">
      <c r="A29" s="3" t="s">
        <v>360</v>
      </c>
      <c r="B29" s="21" t="s">
        <v>388</v>
      </c>
    </row>
    <row r="30" customFormat="false" ht="51.75" hidden="false" customHeight="true" outlineLevel="0" collapsed="false">
      <c r="A30" s="3" t="s">
        <v>360</v>
      </c>
      <c r="B30" s="21" t="s">
        <v>389</v>
      </c>
    </row>
    <row r="31" customFormat="false" ht="77.25" hidden="false" customHeight="true" outlineLevel="0" collapsed="false">
      <c r="A31" s="3" t="s">
        <v>360</v>
      </c>
      <c r="B31" s="21" t="s">
        <v>390</v>
      </c>
    </row>
    <row r="32" customFormat="false" ht="102.75" hidden="false" customHeight="true" outlineLevel="0" collapsed="false">
      <c r="A32" s="3" t="s">
        <v>360</v>
      </c>
      <c r="B32" s="21" t="s">
        <v>391</v>
      </c>
    </row>
    <row r="33" customFormat="false" ht="90" hidden="false" customHeight="true" outlineLevel="0" collapsed="false">
      <c r="A33" s="3" t="s">
        <v>360</v>
      </c>
      <c r="B33" s="21" t="s">
        <v>392</v>
      </c>
    </row>
    <row r="34" customFormat="false" ht="77.25" hidden="false" customHeight="true" outlineLevel="0" collapsed="false">
      <c r="A34" s="3" t="s">
        <v>360</v>
      </c>
      <c r="B34" s="21" t="s">
        <v>393</v>
      </c>
    </row>
    <row r="35" customFormat="false" ht="90" hidden="false" customHeight="true" outlineLevel="0" collapsed="false">
      <c r="A35" s="3" t="s">
        <v>360</v>
      </c>
      <c r="B35" s="21" t="s">
        <v>394</v>
      </c>
    </row>
    <row r="36" customFormat="false" ht="90" hidden="false" customHeight="true" outlineLevel="0" collapsed="false">
      <c r="A36" s="3" t="s">
        <v>360</v>
      </c>
      <c r="B36" s="21" t="s">
        <v>395</v>
      </c>
    </row>
    <row r="37" customFormat="false" ht="115.5" hidden="false" customHeight="true" outlineLevel="0" collapsed="false">
      <c r="A37" s="3" t="s">
        <v>360</v>
      </c>
      <c r="B37" s="21" t="s">
        <v>396</v>
      </c>
    </row>
    <row r="38" customFormat="false" ht="51.75" hidden="false" customHeight="true" outlineLevel="0" collapsed="false">
      <c r="A38" s="3" t="s">
        <v>360</v>
      </c>
      <c r="B38" s="21" t="s">
        <v>397</v>
      </c>
    </row>
    <row r="39" customFormat="false" ht="90" hidden="false" customHeight="true" outlineLevel="0" collapsed="false">
      <c r="A39" s="3" t="s">
        <v>360</v>
      </c>
      <c r="B39" s="21" t="s">
        <v>398</v>
      </c>
    </row>
    <row r="40" customFormat="false" ht="51.75" hidden="false" customHeight="true" outlineLevel="0" collapsed="false">
      <c r="A40" s="3" t="s">
        <v>360</v>
      </c>
      <c r="B40" s="21" t="s">
        <v>399</v>
      </c>
    </row>
    <row r="41" customFormat="false" ht="90" hidden="false" customHeight="true" outlineLevel="0" collapsed="false">
      <c r="A41" s="3" t="s">
        <v>360</v>
      </c>
      <c r="B41" s="21" t="s">
        <v>400</v>
      </c>
    </row>
    <row r="42" customFormat="false" ht="115.5" hidden="false" customHeight="true" outlineLevel="0" collapsed="false">
      <c r="A42" s="3" t="s">
        <v>360</v>
      </c>
      <c r="B42" s="21" t="s">
        <v>401</v>
      </c>
    </row>
    <row r="43" customFormat="false" ht="51.75" hidden="false" customHeight="true" outlineLevel="0" collapsed="false">
      <c r="A43" s="3" t="s">
        <v>360</v>
      </c>
      <c r="B43" s="21" t="s">
        <v>402</v>
      </c>
    </row>
    <row r="44" customFormat="false" ht="141" hidden="false" customHeight="true" outlineLevel="0" collapsed="false">
      <c r="A44" s="3" t="s">
        <v>360</v>
      </c>
      <c r="B44" s="21" t="s">
        <v>403</v>
      </c>
    </row>
    <row r="45" customFormat="false" ht="102.75" hidden="false" customHeight="true" outlineLevel="0" collapsed="false">
      <c r="A45" s="3" t="s">
        <v>360</v>
      </c>
      <c r="B45" s="21" t="s">
        <v>404</v>
      </c>
    </row>
    <row r="46" customFormat="false" ht="77.25" hidden="false" customHeight="true" outlineLevel="0" collapsed="false">
      <c r="A46" s="3" t="s">
        <v>360</v>
      </c>
      <c r="B46" s="21" t="s">
        <v>405</v>
      </c>
    </row>
    <row r="47" customFormat="false" ht="90" hidden="false" customHeight="true" outlineLevel="0" collapsed="false">
      <c r="A47" s="3" t="s">
        <v>360</v>
      </c>
      <c r="B47" s="21" t="s">
        <v>406</v>
      </c>
    </row>
    <row r="48" customFormat="false" ht="64.5" hidden="false" customHeight="true" outlineLevel="0" collapsed="false">
      <c r="A48" s="3" t="s">
        <v>360</v>
      </c>
      <c r="B48" s="21" t="s">
        <v>407</v>
      </c>
    </row>
    <row r="49" customFormat="false" ht="77.25" hidden="false" customHeight="true" outlineLevel="0" collapsed="false">
      <c r="A49" s="3" t="s">
        <v>360</v>
      </c>
      <c r="B49" s="21" t="s">
        <v>408</v>
      </c>
    </row>
    <row r="50" customFormat="false" ht="64.5" hidden="false" customHeight="true" outlineLevel="0" collapsed="false">
      <c r="A50" s="3" t="s">
        <v>360</v>
      </c>
      <c r="B50" s="21" t="s">
        <v>409</v>
      </c>
    </row>
    <row r="51" customFormat="false" ht="64.5" hidden="false" customHeight="true" outlineLevel="0" collapsed="false">
      <c r="A51" s="3" t="s">
        <v>360</v>
      </c>
      <c r="B51" s="21" t="s">
        <v>410</v>
      </c>
    </row>
    <row r="52" customFormat="false" ht="90" hidden="false" customHeight="true" outlineLevel="0" collapsed="false">
      <c r="A52" s="3" t="s">
        <v>360</v>
      </c>
      <c r="B52" s="21" t="s">
        <v>411</v>
      </c>
    </row>
    <row r="53" customFormat="false" ht="115.5" hidden="false" customHeight="true" outlineLevel="0" collapsed="false">
      <c r="A53" s="3" t="s">
        <v>360</v>
      </c>
      <c r="B53" s="21" t="s">
        <v>412</v>
      </c>
    </row>
    <row r="54" customFormat="false" ht="77.25" hidden="false" customHeight="true" outlineLevel="0" collapsed="false">
      <c r="A54" s="3" t="s">
        <v>360</v>
      </c>
      <c r="B54" s="21" t="s">
        <v>413</v>
      </c>
    </row>
    <row r="55" customFormat="false" ht="77.25" hidden="false" customHeight="true" outlineLevel="0" collapsed="false">
      <c r="A55" s="3" t="s">
        <v>360</v>
      </c>
      <c r="B55" s="21" t="s">
        <v>414</v>
      </c>
    </row>
    <row r="56" customFormat="false" ht="77.25" hidden="false" customHeight="true" outlineLevel="0" collapsed="false">
      <c r="A56" s="3" t="s">
        <v>360</v>
      </c>
      <c r="B56" s="21" t="s">
        <v>415</v>
      </c>
    </row>
    <row r="57" customFormat="false" ht="77.25" hidden="false" customHeight="true" outlineLevel="0" collapsed="false">
      <c r="A57" s="3" t="s">
        <v>360</v>
      </c>
      <c r="B57" s="21" t="s">
        <v>416</v>
      </c>
    </row>
    <row r="58" customFormat="false" ht="64.5" hidden="false" customHeight="true" outlineLevel="0" collapsed="false">
      <c r="A58" s="3" t="s">
        <v>417</v>
      </c>
      <c r="B58" s="21" t="s">
        <v>418</v>
      </c>
    </row>
    <row r="59" customFormat="false" ht="51.75" hidden="false" customHeight="true" outlineLevel="0" collapsed="false">
      <c r="A59" s="3" t="s">
        <v>417</v>
      </c>
      <c r="B59" s="21" t="s">
        <v>419</v>
      </c>
    </row>
    <row r="60" customFormat="false" ht="64.5" hidden="false" customHeight="true" outlineLevel="0" collapsed="false">
      <c r="A60" s="3" t="s">
        <v>417</v>
      </c>
      <c r="B60" s="21" t="s">
        <v>420</v>
      </c>
    </row>
    <row r="61" customFormat="false" ht="51.75" hidden="false" customHeight="true" outlineLevel="0" collapsed="false">
      <c r="A61" s="3" t="s">
        <v>417</v>
      </c>
      <c r="B61" s="21" t="s">
        <v>421</v>
      </c>
    </row>
    <row r="62" customFormat="false" ht="64.5" hidden="false" customHeight="true" outlineLevel="0" collapsed="false">
      <c r="A62" s="3" t="s">
        <v>417</v>
      </c>
      <c r="B62" s="21" t="s">
        <v>422</v>
      </c>
    </row>
    <row r="63" customFormat="false" ht="51.75" hidden="false" customHeight="true" outlineLevel="0" collapsed="false">
      <c r="A63" s="3" t="s">
        <v>417</v>
      </c>
      <c r="B63" s="21" t="s">
        <v>423</v>
      </c>
    </row>
    <row r="64" customFormat="false" ht="39" hidden="false" customHeight="true" outlineLevel="0" collapsed="false">
      <c r="A64" s="3" t="s">
        <v>417</v>
      </c>
      <c r="B64" s="21" t="s">
        <v>424</v>
      </c>
    </row>
    <row r="65" customFormat="false" ht="77.25" hidden="false" customHeight="true" outlineLevel="0" collapsed="false">
      <c r="A65" s="3" t="s">
        <v>417</v>
      </c>
      <c r="B65" s="21" t="s">
        <v>425</v>
      </c>
    </row>
    <row r="66" customFormat="false" ht="64.5" hidden="false" customHeight="true" outlineLevel="0" collapsed="false">
      <c r="A66" s="3" t="s">
        <v>417</v>
      </c>
      <c r="B66" s="21" t="s">
        <v>426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0"/>
    <col collapsed="false" customWidth="true" hidden="false" outlineLevel="0" max="3" min="3" style="1" width="20"/>
    <col collapsed="false" customWidth="true" hidden="false" outlineLevel="0" max="4" min="4" style="1" width="8"/>
    <col collapsed="false" customWidth="true" hidden="false" outlineLevel="0" max="5" min="5" style="1" width="22"/>
  </cols>
  <sheetData>
    <row r="1" customFormat="false" ht="26.25" hidden="false" customHeight="true" outlineLevel="0" collapsed="false">
      <c r="A1" s="2" t="s">
        <v>0</v>
      </c>
      <c r="B1" s="2" t="s">
        <v>427</v>
      </c>
      <c r="C1" s="2" t="s">
        <v>428</v>
      </c>
      <c r="D1" s="2" t="s">
        <v>33</v>
      </c>
      <c r="E1" s="2" t="s">
        <v>429</v>
      </c>
    </row>
    <row r="2" customFormat="false" ht="15" hidden="false" customHeight="true" outlineLevel="0" collapsed="false">
      <c r="A2" s="3" t="s">
        <v>13</v>
      </c>
      <c r="B2" s="3" t="n">
        <v>8.177</v>
      </c>
      <c r="C2" s="3" t="s">
        <v>430</v>
      </c>
      <c r="D2" s="3" t="n">
        <v>138.58</v>
      </c>
      <c r="E2" s="3" t="s">
        <v>431</v>
      </c>
    </row>
    <row r="3" customFormat="false" ht="15" hidden="false" customHeight="true" outlineLevel="0" collapsed="false">
      <c r="A3" s="3" t="s">
        <v>18</v>
      </c>
      <c r="B3" s="3" t="n">
        <v>13.284</v>
      </c>
      <c r="C3" s="3" t="s">
        <v>430</v>
      </c>
      <c r="D3" s="3" t="n">
        <v>127.96</v>
      </c>
      <c r="E3" s="3" t="s">
        <v>431</v>
      </c>
    </row>
    <row r="4" customFormat="false" ht="15" hidden="false" customHeight="true" outlineLevel="0" collapsed="false">
      <c r="A4" s="3" t="s">
        <v>22</v>
      </c>
      <c r="B4" s="3" t="n">
        <v>5.286</v>
      </c>
      <c r="C4" s="3" t="s">
        <v>432</v>
      </c>
      <c r="D4" s="3" t="n">
        <v>114.18</v>
      </c>
      <c r="E4" s="3" t="s">
        <v>431</v>
      </c>
    </row>
    <row r="5" customFormat="false" ht="15" hidden="false" customHeight="true" outlineLevel="0" collapsed="false">
      <c r="A5" s="3" t="s">
        <v>24</v>
      </c>
      <c r="B5" s="3" t="n">
        <v>2.258</v>
      </c>
      <c r="C5" s="3" t="s">
        <v>433</v>
      </c>
      <c r="D5" s="3" t="n">
        <v>136.69</v>
      </c>
      <c r="E5" s="3" t="s">
        <v>431</v>
      </c>
    </row>
    <row r="6" customFormat="false" ht="15" hidden="false" customHeight="true" outlineLevel="0" collapsed="false">
      <c r="A6" s="3" t="s">
        <v>27</v>
      </c>
      <c r="B6" s="3" t="n">
        <v>3.142</v>
      </c>
      <c r="C6" s="3" t="s">
        <v>433</v>
      </c>
      <c r="D6" s="3" t="n">
        <v>138.82</v>
      </c>
      <c r="E6" s="3" t="s">
        <v>431</v>
      </c>
    </row>
    <row r="8" customFormat="false" ht="60" hidden="false" customHeight="true" outlineLevel="0" collapsed="false">
      <c r="A8" s="9" t="s">
        <v>434</v>
      </c>
      <c r="B8" s="9"/>
      <c r="C8" s="9"/>
      <c r="D8" s="9"/>
      <c r="E8" s="9"/>
    </row>
  </sheetData>
  <mergeCells count="1">
    <mergeCell ref="A8:E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8"/>
    <col collapsed="false" customWidth="true" hidden="false" outlineLevel="0" max="3" min="3" style="1" width="30"/>
    <col collapsed="false" customWidth="true" hidden="false" outlineLevel="0" max="4" min="4" style="1" width="55"/>
    <col collapsed="false" customWidth="true" hidden="false" outlineLevel="0" max="6" min="5" style="1" width="20"/>
  </cols>
  <sheetData>
    <row r="1" customFormat="false" ht="15" hidden="false" customHeight="true" outlineLevel="0" collapsed="false">
      <c r="A1" s="5" t="s">
        <v>435</v>
      </c>
      <c r="B1" s="5"/>
      <c r="C1" s="5"/>
      <c r="D1" s="5"/>
      <c r="E1" s="5"/>
      <c r="F1" s="5"/>
    </row>
    <row r="3" customFormat="false" ht="26.25" hidden="false" customHeight="true" outlineLevel="0" collapsed="false">
      <c r="A3" s="2" t="s">
        <v>60</v>
      </c>
      <c r="B3" s="2" t="s">
        <v>436</v>
      </c>
      <c r="C3" s="2" t="s">
        <v>437</v>
      </c>
      <c r="D3" s="2" t="s">
        <v>65</v>
      </c>
    </row>
    <row r="4" customFormat="false" ht="15" hidden="false" customHeight="true" outlineLevel="0" collapsed="false">
      <c r="A4" s="1" t="s">
        <v>24</v>
      </c>
      <c r="B4" s="1" t="n">
        <v>93</v>
      </c>
      <c r="C4" s="1" t="n">
        <v>2.383</v>
      </c>
      <c r="D4" s="1" t="s">
        <v>438</v>
      </c>
    </row>
    <row r="5" customFormat="false" ht="15" hidden="false" customHeight="true" outlineLevel="0" collapsed="false">
      <c r="A5" s="1" t="s">
        <v>24</v>
      </c>
      <c r="B5" s="1" t="n">
        <v>94</v>
      </c>
      <c r="C5" s="1" t="n">
        <v>2.245</v>
      </c>
      <c r="D5" s="1" t="s">
        <v>438</v>
      </c>
    </row>
    <row r="6" customFormat="false" ht="15" hidden="false" customHeight="true" outlineLevel="0" collapsed="false">
      <c r="A6" s="1" t="s">
        <v>24</v>
      </c>
      <c r="B6" s="1" t="n">
        <v>95</v>
      </c>
      <c r="C6" s="1" t="n">
        <v>2.091</v>
      </c>
      <c r="D6" s="1" t="s">
        <v>438</v>
      </c>
    </row>
    <row r="7" customFormat="false" ht="15" hidden="false" customHeight="true" outlineLevel="0" collapsed="false">
      <c r="A7" s="1" t="s">
        <v>24</v>
      </c>
      <c r="B7" s="1" t="n">
        <v>96</v>
      </c>
      <c r="C7" s="1" t="n">
        <v>1.921</v>
      </c>
      <c r="D7" s="1" t="s">
        <v>438</v>
      </c>
    </row>
    <row r="8" customFormat="false" ht="15" hidden="false" customHeight="true" outlineLevel="0" collapsed="false">
      <c r="A8" s="1" t="s">
        <v>24</v>
      </c>
      <c r="B8" s="1" t="n">
        <v>97</v>
      </c>
      <c r="C8" s="1" t="n">
        <v>1.736</v>
      </c>
      <c r="D8" s="1" t="s">
        <v>438</v>
      </c>
    </row>
    <row r="9" customFormat="false" ht="15" hidden="false" customHeight="true" outlineLevel="0" collapsed="false">
      <c r="A9" s="1" t="s">
        <v>24</v>
      </c>
      <c r="B9" s="1" t="n">
        <v>98</v>
      </c>
      <c r="C9" s="1" t="n">
        <v>1.535</v>
      </c>
      <c r="D9" s="1" t="s">
        <v>438</v>
      </c>
    </row>
    <row r="10" customFormat="false" ht="15" hidden="false" customHeight="true" outlineLevel="0" collapsed="false">
      <c r="A10" s="1" t="s">
        <v>24</v>
      </c>
      <c r="B10" s="1" t="n">
        <v>99</v>
      </c>
      <c r="C10" s="1" t="n">
        <v>1.319</v>
      </c>
      <c r="D10" s="1" t="s">
        <v>438</v>
      </c>
    </row>
    <row r="11" customFormat="false" ht="15" hidden="false" customHeight="true" outlineLevel="0" collapsed="false">
      <c r="A11" s="1" t="s">
        <v>24</v>
      </c>
      <c r="B11" s="1" t="n">
        <v>100</v>
      </c>
      <c r="C11" s="1" t="n">
        <v>1.086</v>
      </c>
      <c r="D11" s="1" t="s">
        <v>438</v>
      </c>
    </row>
    <row r="12" customFormat="false" ht="15" hidden="false" customHeight="true" outlineLevel="0" collapsed="false">
      <c r="A12" s="1" t="s">
        <v>24</v>
      </c>
      <c r="B12" s="1" t="n">
        <v>101</v>
      </c>
      <c r="C12" s="1" t="n">
        <v>0.838</v>
      </c>
      <c r="D12" s="1" t="s">
        <v>438</v>
      </c>
    </row>
    <row r="13" customFormat="false" ht="15" hidden="false" customHeight="true" outlineLevel="0" collapsed="false">
      <c r="A13" s="1" t="s">
        <v>24</v>
      </c>
      <c r="B13" s="1" t="n">
        <v>102</v>
      </c>
      <c r="C13" s="1" t="n">
        <v>0.575</v>
      </c>
      <c r="D13" s="1" t="s">
        <v>438</v>
      </c>
    </row>
    <row r="14" customFormat="false" ht="15" hidden="false" customHeight="true" outlineLevel="0" collapsed="false">
      <c r="A14" s="1" t="s">
        <v>24</v>
      </c>
      <c r="B14" s="1" t="n">
        <v>103</v>
      </c>
      <c r="C14" s="1" t="n">
        <v>0.295</v>
      </c>
      <c r="D14" s="1" t="s">
        <v>438</v>
      </c>
    </row>
    <row r="15" customFormat="false" ht="15" hidden="false" customHeight="true" outlineLevel="0" collapsed="false">
      <c r="A15" s="1" t="s">
        <v>24</v>
      </c>
      <c r="B15" s="1" t="n">
        <v>104</v>
      </c>
      <c r="C15" s="1" t="n">
        <v>0</v>
      </c>
      <c r="D15" s="1" t="s">
        <v>438</v>
      </c>
    </row>
    <row r="16" customFormat="false" ht="15" hidden="false" customHeight="true" outlineLevel="0" collapsed="false">
      <c r="A16" s="1" t="s">
        <v>24</v>
      </c>
      <c r="B16" s="1" t="s">
        <v>439</v>
      </c>
      <c r="C16" s="1" t="s">
        <v>440</v>
      </c>
      <c r="D16" s="1" t="s">
        <v>441</v>
      </c>
    </row>
    <row r="18" customFormat="false" ht="15" hidden="false" customHeight="true" outlineLevel="0" collapsed="false">
      <c r="A18" s="5" t="s">
        <v>442</v>
      </c>
      <c r="B18" s="5"/>
      <c r="C18" s="5"/>
      <c r="D18" s="5"/>
      <c r="E18" s="5"/>
      <c r="F18" s="5"/>
    </row>
    <row r="19" customFormat="false" ht="26.25" hidden="false" customHeight="true" outlineLevel="0" collapsed="false">
      <c r="A19" s="2" t="s">
        <v>60</v>
      </c>
      <c r="B19" s="2" t="s">
        <v>436</v>
      </c>
      <c r="C19" s="2" t="s">
        <v>443</v>
      </c>
      <c r="D19" s="2" t="s">
        <v>444</v>
      </c>
      <c r="E19" s="2" t="s">
        <v>429</v>
      </c>
      <c r="F19" s="2" t="s">
        <v>445</v>
      </c>
    </row>
    <row r="20" customFormat="false" ht="15" hidden="false" customHeight="true" outlineLevel="0" collapsed="false">
      <c r="A20" s="1" t="s">
        <v>24</v>
      </c>
      <c r="B20" s="1" t="n">
        <v>105</v>
      </c>
      <c r="C20" s="1" t="n">
        <v>0.04</v>
      </c>
      <c r="D20" s="1" t="n">
        <v>0.136</v>
      </c>
      <c r="E20" s="1" t="s">
        <v>446</v>
      </c>
      <c r="F20" s="1" t="n">
        <v>3.6</v>
      </c>
    </row>
    <row r="21" customFormat="false" ht="15" hidden="false" customHeight="true" outlineLevel="0" collapsed="false">
      <c r="A21" s="1" t="s">
        <v>24</v>
      </c>
      <c r="B21" s="1" t="n">
        <v>105</v>
      </c>
      <c r="C21" s="1" t="n">
        <v>0.04</v>
      </c>
      <c r="D21" s="1" t="n">
        <v>0.187</v>
      </c>
      <c r="E21" s="1" t="s">
        <v>447</v>
      </c>
      <c r="F21" s="1" t="n">
        <v>4.87</v>
      </c>
    </row>
    <row r="22" customFormat="false" ht="15" hidden="false" customHeight="true" outlineLevel="0" collapsed="false">
      <c r="A22" s="1" t="s">
        <v>27</v>
      </c>
      <c r="B22" s="1" t="n">
        <v>91</v>
      </c>
      <c r="C22" s="1" t="n">
        <v>0.28</v>
      </c>
      <c r="D22" s="1" t="n">
        <v>0.358</v>
      </c>
      <c r="E22" s="1" t="s">
        <v>446</v>
      </c>
      <c r="F22" s="1" t="n">
        <v>2.65</v>
      </c>
    </row>
    <row r="23" customFormat="false" ht="15" hidden="false" customHeight="true" outlineLevel="0" collapsed="false">
      <c r="A23" s="1" t="s">
        <v>27</v>
      </c>
      <c r="B23" s="1" t="n">
        <v>91</v>
      </c>
      <c r="C23" s="1" t="n">
        <v>0.28</v>
      </c>
      <c r="D23" s="1" t="n">
        <v>0.292</v>
      </c>
      <c r="E23" s="1" t="s">
        <v>447</v>
      </c>
      <c r="F23" s="1" t="n">
        <v>2.42</v>
      </c>
    </row>
    <row r="25" customFormat="false" ht="139.5" hidden="false" customHeight="true" outlineLevel="0" collapsed="false">
      <c r="A25" s="9" t="s">
        <v>448</v>
      </c>
      <c r="B25" s="9"/>
      <c r="C25" s="9"/>
      <c r="D25" s="9"/>
      <c r="E25" s="9"/>
      <c r="F25" s="9"/>
    </row>
  </sheetData>
  <mergeCells count="3">
    <mergeCell ref="A1:F1"/>
    <mergeCell ref="A18:F18"/>
    <mergeCell ref="A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8"/>
    <col collapsed="false" customWidth="true" hidden="false" outlineLevel="0" max="3" min="3" style="1" width="42"/>
    <col collapsed="false" customWidth="true" hidden="false" outlineLevel="0" max="4" min="4" style="1" width="15"/>
    <col collapsed="false" customWidth="true" hidden="false" outlineLevel="0" max="6" min="5" style="1" width="20"/>
    <col collapsed="false" customWidth="true" hidden="false" outlineLevel="0" max="7" min="7" style="1" width="22"/>
  </cols>
  <sheetData>
    <row r="1" customFormat="false" ht="15" hidden="false" customHeight="true" outlineLevel="0" collapsed="false">
      <c r="A1" s="5" t="s">
        <v>449</v>
      </c>
      <c r="B1" s="5"/>
      <c r="C1" s="5"/>
      <c r="D1" s="5"/>
      <c r="E1" s="5"/>
      <c r="F1" s="5"/>
      <c r="G1" s="5"/>
    </row>
    <row r="3" customFormat="false" ht="26.25" hidden="false" customHeight="true" outlineLevel="0" collapsed="false">
      <c r="A3" s="2" t="s">
        <v>60</v>
      </c>
      <c r="B3" s="2" t="s">
        <v>436</v>
      </c>
      <c r="C3" s="2" t="s">
        <v>450</v>
      </c>
      <c r="D3" s="2" t="s">
        <v>451</v>
      </c>
      <c r="E3" s="2" t="s">
        <v>452</v>
      </c>
      <c r="F3" s="2" t="s">
        <v>453</v>
      </c>
      <c r="G3" s="2" t="s">
        <v>454</v>
      </c>
    </row>
    <row r="4" customFormat="false" ht="15" hidden="false" customHeight="true" outlineLevel="0" collapsed="false">
      <c r="A4" s="8" t="s">
        <v>24</v>
      </c>
      <c r="B4" s="8" t="n">
        <v>104</v>
      </c>
      <c r="C4" s="8" t="s">
        <v>455</v>
      </c>
      <c r="D4" s="8" t="n">
        <v>-0.36</v>
      </c>
      <c r="E4" s="8" t="n">
        <v>-0.393</v>
      </c>
      <c r="F4" s="8" t="n">
        <v>-0.419</v>
      </c>
      <c r="G4" s="8" t="s">
        <v>456</v>
      </c>
    </row>
    <row r="5" customFormat="false" ht="15" hidden="false" customHeight="true" outlineLevel="0" collapsed="false">
      <c r="A5" s="8" t="s">
        <v>24</v>
      </c>
      <c r="B5" s="8" t="n">
        <v>105</v>
      </c>
      <c r="C5" s="8" t="s">
        <v>457</v>
      </c>
      <c r="D5" s="8" t="n">
        <v>-0.335</v>
      </c>
      <c r="E5" s="8" t="n">
        <v>-0.343</v>
      </c>
      <c r="F5" s="8" t="n">
        <v>-0.367</v>
      </c>
      <c r="G5" s="8" t="s">
        <v>458</v>
      </c>
    </row>
    <row r="6" customFormat="false" ht="26.25" hidden="false" customHeight="true" outlineLevel="0" collapsed="false">
      <c r="A6" s="8" t="s">
        <v>27</v>
      </c>
      <c r="B6" s="8" t="n">
        <v>84</v>
      </c>
      <c r="C6" s="8" t="s">
        <v>459</v>
      </c>
      <c r="D6" s="8" t="n">
        <v>-0.33</v>
      </c>
      <c r="E6" s="8" t="n">
        <v>-0.308</v>
      </c>
      <c r="F6" s="8" t="n">
        <v>-0.308</v>
      </c>
      <c r="G6" s="8" t="s">
        <v>460</v>
      </c>
    </row>
    <row r="7" customFormat="false" ht="15" hidden="false" customHeight="true" outlineLevel="0" collapsed="false">
      <c r="A7" s="8" t="s">
        <v>27</v>
      </c>
      <c r="B7" s="8" t="n">
        <v>85</v>
      </c>
      <c r="C7" s="8" t="s">
        <v>461</v>
      </c>
      <c r="D7" s="8" t="n">
        <v>-0.279</v>
      </c>
      <c r="E7" s="8" t="n">
        <v>-0.276</v>
      </c>
      <c r="F7" s="8" t="n">
        <v>-0.27</v>
      </c>
      <c r="G7" s="8" t="s">
        <v>462</v>
      </c>
    </row>
    <row r="9" customFormat="false" ht="99.75" hidden="false" customHeight="true" outlineLevel="0" collapsed="false">
      <c r="A9" s="9" t="s">
        <v>463</v>
      </c>
      <c r="B9" s="9"/>
      <c r="C9" s="9"/>
      <c r="D9" s="9"/>
      <c r="E9" s="9"/>
      <c r="F9" s="9"/>
      <c r="G9" s="9"/>
    </row>
    <row r="10" customFormat="false" ht="120" hidden="false" customHeight="true" outlineLevel="0" collapsed="false">
      <c r="A10" s="9" t="s">
        <v>464</v>
      </c>
      <c r="B10" s="9"/>
      <c r="C10" s="9"/>
      <c r="D10" s="9"/>
      <c r="E10" s="9"/>
      <c r="F10" s="9"/>
      <c r="G10" s="9"/>
    </row>
  </sheetData>
  <mergeCells count="3">
    <mergeCell ref="A1:G1"/>
    <mergeCell ref="A9:G9"/>
    <mergeCell ref="A10:G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2026-09-13T12:36:03Z</dcterms:created>
  <dc:creator>openpyxl</dc:creator>
  <dc:description/>
  <dc:language>en-US</dc:language>
  <cp:lastModifiedBy/>
  <dcterms:modified xsi:type="dcterms:W3CDTF">2026-09-15T08:52:23Z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